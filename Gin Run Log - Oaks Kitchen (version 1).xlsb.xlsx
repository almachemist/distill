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ish\Devils Thumb Distillery\DTD - General\PRODUCTION\Distilling\Gin records\"/>
    </mc:Choice>
  </mc:AlternateContent>
  <xr:revisionPtr revIDLastSave="0" documentId="13_ncr:1_{D7BD7D83-8F2F-4C46-9B61-6ACE52862048}" xr6:coauthVersionLast="47" xr6:coauthVersionMax="47" xr10:uidLastSave="{00000000-0000-0000-0000-000000000000}"/>
  <bookViews>
    <workbookView xWindow="-108" yWindow="-108" windowWidth="23256" windowHeight="12456" tabRatio="896" activeTab="2" xr2:uid="{E4C45A57-8E46-4AE1-A4CD-05C0904F60B5}"/>
  </bookViews>
  <sheets>
    <sheet name="Log" sheetId="22" r:id="rId1"/>
    <sheet name="Dry Season 122024" sheetId="84" r:id="rId2"/>
    <sheet name="Oaks 1000L (2)" sheetId="81" r:id="rId3"/>
    <sheet name="Oaks 1000L" sheetId="76" r:id="rId4"/>
    <sheet name="Oaks 1000L (3)" sheetId="82" r:id="rId5"/>
    <sheet name="Oaks 1000L (4)" sheetId="83" r:id="rId6"/>
    <sheet name="Oaks 1000L (5)" sheetId="85" r:id="rId7"/>
    <sheet name="Oaks Pro250L (2)" sheetId="79" r:id="rId8"/>
    <sheet name="Oaks Dry 01" sheetId="80" r:id="rId9"/>
    <sheet name="03" sheetId="77" r:id="rId10"/>
    <sheet name="02" sheetId="75" r:id="rId11"/>
    <sheet name="Oaks Pro250L" sheetId="73" r:id="rId12"/>
    <sheet name="01" sheetId="74" r:id="rId13"/>
  </sheets>
  <definedNames>
    <definedName name="_xlnm.Print_Area" localSheetId="0">Log!$B$3:$O$3</definedName>
    <definedName name="_xlnm.Print_Titles" localSheetId="0">Log!$1:$2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84" l="1"/>
  <c r="I45" i="85"/>
  <c r="M41" i="85"/>
  <c r="J41" i="85"/>
  <c r="M40" i="85"/>
  <c r="M39" i="85"/>
  <c r="M42" i="85" s="1"/>
  <c r="K39" i="85"/>
  <c r="M38" i="85"/>
  <c r="K37" i="85"/>
  <c r="K41" i="85" s="1"/>
  <c r="J58" i="85"/>
  <c r="I51" i="85"/>
  <c r="K51" i="85" s="1"/>
  <c r="K52" i="85" s="1"/>
  <c r="J48" i="85"/>
  <c r="K44" i="85"/>
  <c r="K45" i="85" s="1"/>
  <c r="K46" i="85" s="1"/>
  <c r="K47" i="85" s="1"/>
  <c r="I44" i="85"/>
  <c r="I48" i="85" s="1"/>
  <c r="D38" i="85"/>
  <c r="E33" i="85" s="1"/>
  <c r="E37" i="85"/>
  <c r="E36" i="85"/>
  <c r="E35" i="85"/>
  <c r="E34" i="85"/>
  <c r="E32" i="85"/>
  <c r="E31" i="85"/>
  <c r="P30" i="85"/>
  <c r="E30" i="85"/>
  <c r="P29" i="85"/>
  <c r="P28" i="85"/>
  <c r="E28" i="85"/>
  <c r="P27" i="85"/>
  <c r="E27" i="85"/>
  <c r="P26" i="85"/>
  <c r="E26" i="85"/>
  <c r="P25" i="85"/>
  <c r="E25" i="85"/>
  <c r="P24" i="85"/>
  <c r="E24" i="85"/>
  <c r="P23" i="85"/>
  <c r="E23" i="85"/>
  <c r="P22" i="85"/>
  <c r="E22" i="85"/>
  <c r="P21" i="85"/>
  <c r="E21" i="85"/>
  <c r="P20" i="85"/>
  <c r="E20" i="85"/>
  <c r="P19" i="85"/>
  <c r="K27" i="85"/>
  <c r="K28" i="85" s="1"/>
  <c r="K29" i="85" s="1"/>
  <c r="K30" i="85" s="1"/>
  <c r="E19" i="85"/>
  <c r="P18" i="85"/>
  <c r="E18" i="85"/>
  <c r="E17" i="85"/>
  <c r="P16" i="85"/>
  <c r="E16" i="85"/>
  <c r="P15" i="85"/>
  <c r="E15" i="85"/>
  <c r="D12" i="85"/>
  <c r="G10" i="85" s="1"/>
  <c r="F11" i="85"/>
  <c r="F9" i="85"/>
  <c r="D17" i="84"/>
  <c r="D18" i="84"/>
  <c r="D26" i="84"/>
  <c r="D25" i="84"/>
  <c r="D24" i="84"/>
  <c r="D23" i="84"/>
  <c r="D22" i="84"/>
  <c r="D20" i="84"/>
  <c r="D21" i="84"/>
  <c r="D19" i="84"/>
  <c r="J58" i="84"/>
  <c r="I51" i="84"/>
  <c r="K51" i="84" s="1"/>
  <c r="K52" i="84" s="1"/>
  <c r="J48" i="84"/>
  <c r="I44" i="84"/>
  <c r="K44" i="84" s="1"/>
  <c r="K45" i="84" s="1"/>
  <c r="K46" i="84" s="1"/>
  <c r="K47" i="84" s="1"/>
  <c r="M41" i="84"/>
  <c r="M40" i="84"/>
  <c r="L40" i="84"/>
  <c r="J38" i="84"/>
  <c r="J37" i="84"/>
  <c r="P30" i="84"/>
  <c r="P29" i="84"/>
  <c r="P28" i="84"/>
  <c r="P27" i="84"/>
  <c r="P26" i="84"/>
  <c r="P25" i="84"/>
  <c r="P24" i="84"/>
  <c r="P23" i="84"/>
  <c r="P22" i="84"/>
  <c r="P21" i="84"/>
  <c r="P20" i="84"/>
  <c r="P19" i="84"/>
  <c r="P18" i="84"/>
  <c r="K24" i="84"/>
  <c r="K25" i="84" s="1"/>
  <c r="K26" i="84" s="1"/>
  <c r="K27" i="84" s="1"/>
  <c r="K28" i="84" s="1"/>
  <c r="K29" i="84" s="1"/>
  <c r="K30" i="84" s="1"/>
  <c r="P16" i="84"/>
  <c r="P15" i="84"/>
  <c r="D12" i="84"/>
  <c r="G10" i="84" s="1"/>
  <c r="F11" i="84"/>
  <c r="F9" i="84"/>
  <c r="E12" i="84" s="1"/>
  <c r="F12" i="84" s="1"/>
  <c r="F30" i="79"/>
  <c r="F17" i="79"/>
  <c r="J58" i="83"/>
  <c r="I51" i="83"/>
  <c r="K51" i="83" s="1"/>
  <c r="K52" i="83" s="1"/>
  <c r="J48" i="83"/>
  <c r="I48" i="83"/>
  <c r="K44" i="83"/>
  <c r="K45" i="83" s="1"/>
  <c r="K46" i="83" s="1"/>
  <c r="K47" i="83" s="1"/>
  <c r="I44" i="83"/>
  <c r="M41" i="83"/>
  <c r="M40" i="83"/>
  <c r="L40" i="83"/>
  <c r="J40" i="83"/>
  <c r="J38" i="83"/>
  <c r="D38" i="83"/>
  <c r="E36" i="83" s="1"/>
  <c r="J37" i="83"/>
  <c r="K38" i="83" s="1"/>
  <c r="E37" i="83"/>
  <c r="E34" i="83"/>
  <c r="P30" i="83"/>
  <c r="P29" i="83"/>
  <c r="P28" i="83"/>
  <c r="P27" i="83"/>
  <c r="P26" i="83"/>
  <c r="P25" i="83"/>
  <c r="E25" i="83"/>
  <c r="P24" i="83"/>
  <c r="E24" i="83"/>
  <c r="P23" i="83"/>
  <c r="P22" i="83"/>
  <c r="E22" i="83"/>
  <c r="P21" i="83"/>
  <c r="E21" i="83"/>
  <c r="P20" i="83"/>
  <c r="P19" i="83"/>
  <c r="K19" i="83"/>
  <c r="K20" i="83" s="1"/>
  <c r="K21" i="83" s="1"/>
  <c r="K22" i="83" s="1"/>
  <c r="K23" i="83" s="1"/>
  <c r="K24" i="83" s="1"/>
  <c r="K25" i="83" s="1"/>
  <c r="K26" i="83" s="1"/>
  <c r="K27" i="83" s="1"/>
  <c r="K28" i="83" s="1"/>
  <c r="K29" i="83" s="1"/>
  <c r="K30" i="83" s="1"/>
  <c r="P18" i="83"/>
  <c r="K18" i="83"/>
  <c r="P16" i="83"/>
  <c r="E16" i="83"/>
  <c r="P15" i="83"/>
  <c r="D12" i="83"/>
  <c r="F11" i="83"/>
  <c r="G10" i="83"/>
  <c r="G9" i="83"/>
  <c r="F9" i="83"/>
  <c r="E12" i="83" s="1"/>
  <c r="F12" i="83" s="1"/>
  <c r="I48" i="84" l="1"/>
  <c r="L41" i="85"/>
  <c r="M51" i="85"/>
  <c r="L51" i="85" s="1"/>
  <c r="E12" i="85"/>
  <c r="G9" i="85"/>
  <c r="K48" i="85"/>
  <c r="M47" i="85"/>
  <c r="K53" i="85"/>
  <c r="M52" i="85"/>
  <c r="E29" i="85"/>
  <c r="E38" i="85" s="1"/>
  <c r="F12" i="85"/>
  <c r="D39" i="85" s="1"/>
  <c r="M39" i="84"/>
  <c r="M51" i="84" s="1"/>
  <c r="L51" i="84" s="1"/>
  <c r="M38" i="84"/>
  <c r="L38" i="84" s="1"/>
  <c r="M37" i="84"/>
  <c r="L37" i="84" s="1"/>
  <c r="J41" i="84"/>
  <c r="L41" i="84" s="1"/>
  <c r="K38" i="84"/>
  <c r="D38" i="84"/>
  <c r="E33" i="84" s="1"/>
  <c r="L39" i="84"/>
  <c r="K53" i="84"/>
  <c r="M52" i="84"/>
  <c r="M47" i="84"/>
  <c r="K48" i="84"/>
  <c r="G9" i="84"/>
  <c r="K37" i="84"/>
  <c r="M39" i="83"/>
  <c r="M42" i="83" s="1"/>
  <c r="M37" i="83"/>
  <c r="L37" i="83" s="1"/>
  <c r="M38" i="83"/>
  <c r="L38" i="83" s="1"/>
  <c r="K48" i="83"/>
  <c r="M47" i="83"/>
  <c r="K53" i="83"/>
  <c r="M52" i="83"/>
  <c r="E31" i="83"/>
  <c r="K37" i="83"/>
  <c r="J41" i="83"/>
  <c r="L41" i="83" s="1"/>
  <c r="E20" i="83"/>
  <c r="E28" i="83"/>
  <c r="E17" i="83"/>
  <c r="E23" i="83"/>
  <c r="E18" i="83"/>
  <c r="E26" i="83"/>
  <c r="E32" i="83"/>
  <c r="D39" i="83"/>
  <c r="E29" i="83"/>
  <c r="E33" i="83"/>
  <c r="K39" i="83"/>
  <c r="E15" i="83"/>
  <c r="E38" i="83" s="1"/>
  <c r="E19" i="83"/>
  <c r="E27" i="83"/>
  <c r="E35" i="83"/>
  <c r="E30" i="83"/>
  <c r="M42" i="84" l="1"/>
  <c r="K41" i="84"/>
  <c r="K54" i="85"/>
  <c r="M53" i="85"/>
  <c r="E17" i="84"/>
  <c r="E18" i="84"/>
  <c r="E21" i="84"/>
  <c r="E32" i="84"/>
  <c r="E23" i="84"/>
  <c r="E30" i="84"/>
  <c r="E26" i="84"/>
  <c r="E35" i="84"/>
  <c r="E28" i="84"/>
  <c r="E27" i="84"/>
  <c r="E36" i="84"/>
  <c r="E20" i="84"/>
  <c r="E15" i="84"/>
  <c r="E22" i="84"/>
  <c r="E37" i="84"/>
  <c r="E34" i="84"/>
  <c r="E19" i="84"/>
  <c r="E25" i="84"/>
  <c r="D39" i="84"/>
  <c r="E24" i="84"/>
  <c r="E16" i="84"/>
  <c r="E31" i="84"/>
  <c r="E29" i="84"/>
  <c r="K54" i="84"/>
  <c r="M53" i="84"/>
  <c r="M51" i="83"/>
  <c r="L51" i="83" s="1"/>
  <c r="L39" i="83"/>
  <c r="K54" i="83"/>
  <c r="M53" i="83"/>
  <c r="K41" i="83"/>
  <c r="M54" i="85" l="1"/>
  <c r="K55" i="85"/>
  <c r="E38" i="84"/>
  <c r="K55" i="84"/>
  <c r="M54" i="84"/>
  <c r="M54" i="83"/>
  <c r="K55" i="83"/>
  <c r="K56" i="85" l="1"/>
  <c r="M55" i="85"/>
  <c r="M55" i="84"/>
  <c r="K56" i="84"/>
  <c r="K56" i="83"/>
  <c r="M55" i="83"/>
  <c r="K57" i="85" l="1"/>
  <c r="M56" i="85"/>
  <c r="M56" i="84"/>
  <c r="K57" i="84"/>
  <c r="K57" i="83"/>
  <c r="M56" i="83"/>
  <c r="K58" i="85" l="1"/>
  <c r="M57" i="85"/>
  <c r="K58" i="84"/>
  <c r="M57" i="84"/>
  <c r="K58" i="83"/>
  <c r="M57" i="83"/>
  <c r="D12" i="82" l="1"/>
  <c r="J58" i="82"/>
  <c r="J48" i="82"/>
  <c r="M41" i="82"/>
  <c r="M40" i="82"/>
  <c r="L40" i="82" s="1"/>
  <c r="J40" i="82"/>
  <c r="J39" i="82"/>
  <c r="I51" i="82" s="1"/>
  <c r="K51" i="82" s="1"/>
  <c r="K52" i="82" s="1"/>
  <c r="J38" i="82"/>
  <c r="D38" i="82"/>
  <c r="E33" i="82" s="1"/>
  <c r="J37" i="82"/>
  <c r="I34" i="82"/>
  <c r="J29" i="82" s="1"/>
  <c r="P30" i="82"/>
  <c r="P29" i="82"/>
  <c r="P28" i="82"/>
  <c r="P27" i="82"/>
  <c r="P26" i="82"/>
  <c r="P25" i="82"/>
  <c r="P24" i="82"/>
  <c r="P23" i="82"/>
  <c r="P22" i="82"/>
  <c r="P21" i="82"/>
  <c r="P20" i="82"/>
  <c r="P19" i="82"/>
  <c r="P18" i="82"/>
  <c r="K18" i="82"/>
  <c r="K19" i="82" s="1"/>
  <c r="K20" i="82" s="1"/>
  <c r="K21" i="82" s="1"/>
  <c r="K22" i="82" s="1"/>
  <c r="K23" i="82" s="1"/>
  <c r="K24" i="82" s="1"/>
  <c r="K25" i="82" s="1"/>
  <c r="K26" i="82" s="1"/>
  <c r="K27" i="82" s="1"/>
  <c r="K28" i="82" s="1"/>
  <c r="K29" i="82" s="1"/>
  <c r="K30" i="82" s="1"/>
  <c r="P16" i="82"/>
  <c r="P15" i="82"/>
  <c r="M37" i="82" s="1"/>
  <c r="L37" i="82" s="1"/>
  <c r="G10" i="82"/>
  <c r="F11" i="82"/>
  <c r="F9" i="82"/>
  <c r="J58" i="81"/>
  <c r="J48" i="81"/>
  <c r="M41" i="81"/>
  <c r="M40" i="81"/>
  <c r="L40" i="81"/>
  <c r="J40" i="81"/>
  <c r="I44" i="81"/>
  <c r="J38" i="81"/>
  <c r="D38" i="81"/>
  <c r="E34" i="81" s="1"/>
  <c r="J37" i="81"/>
  <c r="E36" i="81"/>
  <c r="E35" i="81"/>
  <c r="E33" i="81"/>
  <c r="E31" i="81"/>
  <c r="P30" i="81"/>
  <c r="E30" i="81"/>
  <c r="P29" i="81"/>
  <c r="E29" i="81"/>
  <c r="P28" i="81"/>
  <c r="E28" i="81"/>
  <c r="P27" i="81"/>
  <c r="E27" i="81"/>
  <c r="P26" i="81"/>
  <c r="E26" i="81"/>
  <c r="P25" i="81"/>
  <c r="E25" i="81"/>
  <c r="P24" i="81"/>
  <c r="E24" i="81"/>
  <c r="P23" i="81"/>
  <c r="E23" i="81"/>
  <c r="P22" i="81"/>
  <c r="E22" i="81"/>
  <c r="P21" i="81"/>
  <c r="E21" i="81"/>
  <c r="P20" i="81"/>
  <c r="E20" i="81"/>
  <c r="P19" i="81"/>
  <c r="K19" i="81"/>
  <c r="K20" i="81" s="1"/>
  <c r="K21" i="81" s="1"/>
  <c r="K22" i="81" s="1"/>
  <c r="K23" i="81" s="1"/>
  <c r="K24" i="81" s="1"/>
  <c r="K25" i="81" s="1"/>
  <c r="K26" i="81" s="1"/>
  <c r="K27" i="81" s="1"/>
  <c r="K28" i="81" s="1"/>
  <c r="K29" i="81" s="1"/>
  <c r="K30" i="81" s="1"/>
  <c r="E19" i="81"/>
  <c r="P18" i="81"/>
  <c r="K18" i="81"/>
  <c r="E18" i="81"/>
  <c r="E17" i="81"/>
  <c r="P16" i="81"/>
  <c r="E16" i="81"/>
  <c r="P15" i="81"/>
  <c r="E15" i="81"/>
  <c r="D12" i="81"/>
  <c r="G10" i="81" s="1"/>
  <c r="F11" i="81"/>
  <c r="F9" i="81"/>
  <c r="E12" i="81" s="1"/>
  <c r="I34" i="80"/>
  <c r="J27" i="80" s="1"/>
  <c r="J58" i="80"/>
  <c r="J48" i="80"/>
  <c r="M41" i="80"/>
  <c r="M40" i="80"/>
  <c r="J40" i="80"/>
  <c r="L40" i="80" s="1"/>
  <c r="J39" i="80"/>
  <c r="I51" i="80" s="1"/>
  <c r="K51" i="80" s="1"/>
  <c r="K52" i="80" s="1"/>
  <c r="J38" i="80"/>
  <c r="D38" i="80"/>
  <c r="E34" i="80" s="1"/>
  <c r="J37" i="80"/>
  <c r="P30" i="80"/>
  <c r="E30" i="80"/>
  <c r="P29" i="80"/>
  <c r="P28" i="80"/>
  <c r="P27" i="80"/>
  <c r="P26" i="80"/>
  <c r="E26" i="80"/>
  <c r="P25" i="80"/>
  <c r="P24" i="80"/>
  <c r="E24" i="80"/>
  <c r="P23" i="80"/>
  <c r="P22" i="80"/>
  <c r="E22" i="80"/>
  <c r="P21" i="80"/>
  <c r="P20" i="80"/>
  <c r="E20" i="80"/>
  <c r="P19" i="80"/>
  <c r="P18" i="80"/>
  <c r="K18" i="80"/>
  <c r="K19" i="80" s="1"/>
  <c r="K20" i="80" s="1"/>
  <c r="K21" i="80" s="1"/>
  <c r="K22" i="80" s="1"/>
  <c r="K23" i="80" s="1"/>
  <c r="K24" i="80" s="1"/>
  <c r="K25" i="80" s="1"/>
  <c r="K26" i="80" s="1"/>
  <c r="K27" i="80" s="1"/>
  <c r="K28" i="80" s="1"/>
  <c r="K29" i="80" s="1"/>
  <c r="K30" i="80" s="1"/>
  <c r="E18" i="80"/>
  <c r="P16" i="80"/>
  <c r="M37" i="80" s="1"/>
  <c r="L37" i="80" s="1"/>
  <c r="P15" i="80"/>
  <c r="E15" i="80"/>
  <c r="D12" i="80"/>
  <c r="G9" i="80" s="1"/>
  <c r="F11" i="80"/>
  <c r="F9" i="80"/>
  <c r="J58" i="79"/>
  <c r="J48" i="79"/>
  <c r="M41" i="79"/>
  <c r="L41" i="79" s="1"/>
  <c r="J41" i="79"/>
  <c r="M40" i="79"/>
  <c r="L40" i="79" s="1"/>
  <c r="J40" i="79"/>
  <c r="J39" i="79"/>
  <c r="I51" i="79" s="1"/>
  <c r="K51" i="79" s="1"/>
  <c r="K52" i="79" s="1"/>
  <c r="J38" i="79"/>
  <c r="K38" i="79" s="1"/>
  <c r="D38" i="79"/>
  <c r="E33" i="79" s="1"/>
  <c r="K37" i="79"/>
  <c r="J37" i="79"/>
  <c r="E36" i="79"/>
  <c r="E35" i="79"/>
  <c r="I34" i="79"/>
  <c r="J29" i="79" s="1"/>
  <c r="E34" i="79"/>
  <c r="E31" i="79"/>
  <c r="P30" i="79"/>
  <c r="E30" i="79"/>
  <c r="P29" i="79"/>
  <c r="E29" i="79"/>
  <c r="P28" i="79"/>
  <c r="E28" i="79"/>
  <c r="P27" i="79"/>
  <c r="E27" i="79"/>
  <c r="P26" i="79"/>
  <c r="E26" i="79"/>
  <c r="P25" i="79"/>
  <c r="E25" i="79"/>
  <c r="P24" i="79"/>
  <c r="E24" i="79"/>
  <c r="P23" i="79"/>
  <c r="E23" i="79"/>
  <c r="P22" i="79"/>
  <c r="E22" i="79"/>
  <c r="P21" i="79"/>
  <c r="E21" i="79"/>
  <c r="P20" i="79"/>
  <c r="E20" i="79"/>
  <c r="P19" i="79"/>
  <c r="M39" i="79" s="1"/>
  <c r="E19" i="79"/>
  <c r="P18" i="79"/>
  <c r="M38" i="79" s="1"/>
  <c r="L38" i="79" s="1"/>
  <c r="K18" i="79"/>
  <c r="K19" i="79" s="1"/>
  <c r="K20" i="79" s="1"/>
  <c r="K21" i="79" s="1"/>
  <c r="K22" i="79" s="1"/>
  <c r="K23" i="79" s="1"/>
  <c r="K24" i="79" s="1"/>
  <c r="K25" i="79" s="1"/>
  <c r="K26" i="79" s="1"/>
  <c r="K27" i="79" s="1"/>
  <c r="K28" i="79" s="1"/>
  <c r="K29" i="79" s="1"/>
  <c r="K30" i="79" s="1"/>
  <c r="K34" i="79" s="1"/>
  <c r="J34" i="79" s="1"/>
  <c r="E18" i="79"/>
  <c r="E17" i="79"/>
  <c r="P16" i="79"/>
  <c r="E16" i="79"/>
  <c r="P15" i="79"/>
  <c r="M37" i="79" s="1"/>
  <c r="L37" i="79" s="1"/>
  <c r="E15" i="79"/>
  <c r="E12" i="79"/>
  <c r="F12" i="79" s="1"/>
  <c r="D39" i="79" s="1"/>
  <c r="D12" i="79"/>
  <c r="F11" i="79"/>
  <c r="G10" i="79"/>
  <c r="G9" i="79"/>
  <c r="F9" i="79"/>
  <c r="J58" i="77"/>
  <c r="J48" i="77"/>
  <c r="I48" i="77"/>
  <c r="K44" i="77"/>
  <c r="K45" i="77" s="1"/>
  <c r="K46" i="77" s="1"/>
  <c r="K47" i="77" s="1"/>
  <c r="M41" i="77"/>
  <c r="M40" i="77"/>
  <c r="L40" i="77" s="1"/>
  <c r="J40" i="77"/>
  <c r="J39" i="77"/>
  <c r="I51" i="77" s="1"/>
  <c r="K51" i="77" s="1"/>
  <c r="K52" i="77" s="1"/>
  <c r="J38" i="77"/>
  <c r="D38" i="77"/>
  <c r="E33" i="77" s="1"/>
  <c r="J37" i="77"/>
  <c r="I34" i="77"/>
  <c r="J28" i="77" s="1"/>
  <c r="P30" i="77"/>
  <c r="P29" i="77"/>
  <c r="P28" i="77"/>
  <c r="P27" i="77"/>
  <c r="P26" i="77"/>
  <c r="P25" i="77"/>
  <c r="P24" i="77"/>
  <c r="P23" i="77"/>
  <c r="P22" i="77"/>
  <c r="P21" i="77"/>
  <c r="P20" i="77"/>
  <c r="P19" i="77"/>
  <c r="P18" i="77"/>
  <c r="K18" i="77"/>
  <c r="K19" i="77" s="1"/>
  <c r="K20" i="77" s="1"/>
  <c r="K21" i="77" s="1"/>
  <c r="K22" i="77" s="1"/>
  <c r="K23" i="77" s="1"/>
  <c r="K24" i="77" s="1"/>
  <c r="K25" i="77" s="1"/>
  <c r="K26" i="77" s="1"/>
  <c r="K27" i="77" s="1"/>
  <c r="K28" i="77" s="1"/>
  <c r="K29" i="77" s="1"/>
  <c r="K30" i="77" s="1"/>
  <c r="E17" i="77"/>
  <c r="P16" i="77"/>
  <c r="P15" i="77"/>
  <c r="E15" i="77"/>
  <c r="D12" i="77"/>
  <c r="G10" i="77" s="1"/>
  <c r="F11" i="77"/>
  <c r="F9" i="77"/>
  <c r="J58" i="76"/>
  <c r="J48" i="76"/>
  <c r="M41" i="76"/>
  <c r="M40" i="76"/>
  <c r="J40" i="76"/>
  <c r="L40" i="76" s="1"/>
  <c r="J39" i="76"/>
  <c r="I51" i="76" s="1"/>
  <c r="K51" i="76" s="1"/>
  <c r="K52" i="76" s="1"/>
  <c r="J38" i="76"/>
  <c r="K38" i="76" s="1"/>
  <c r="D38" i="76"/>
  <c r="E33" i="76" s="1"/>
  <c r="J37" i="76"/>
  <c r="I34" i="76"/>
  <c r="J28" i="76" s="1"/>
  <c r="P30" i="76"/>
  <c r="J30" i="76"/>
  <c r="P29" i="76"/>
  <c r="P28" i="76"/>
  <c r="P27" i="76"/>
  <c r="P26" i="76"/>
  <c r="P25" i="76"/>
  <c r="P24" i="76"/>
  <c r="P23" i="76"/>
  <c r="P22" i="76"/>
  <c r="J22" i="76"/>
  <c r="P21" i="76"/>
  <c r="P20" i="76"/>
  <c r="M39" i="76" s="1"/>
  <c r="P19" i="76"/>
  <c r="J19" i="76"/>
  <c r="P18" i="76"/>
  <c r="M38" i="76" s="1"/>
  <c r="L38" i="76" s="1"/>
  <c r="K18" i="76"/>
  <c r="K19" i="76" s="1"/>
  <c r="K20" i="76" s="1"/>
  <c r="K21" i="76" s="1"/>
  <c r="K22" i="76" s="1"/>
  <c r="K23" i="76" s="1"/>
  <c r="K24" i="76" s="1"/>
  <c r="K25" i="76" s="1"/>
  <c r="K26" i="76" s="1"/>
  <c r="K27" i="76" s="1"/>
  <c r="K28" i="76" s="1"/>
  <c r="K29" i="76" s="1"/>
  <c r="K30" i="76" s="1"/>
  <c r="P16" i="76"/>
  <c r="P15" i="76"/>
  <c r="D12" i="76"/>
  <c r="G10" i="76" s="1"/>
  <c r="F11" i="76"/>
  <c r="G9" i="76"/>
  <c r="F9" i="76"/>
  <c r="D12" i="75"/>
  <c r="G9" i="75" s="1"/>
  <c r="J58" i="75"/>
  <c r="J48" i="75"/>
  <c r="M41" i="75"/>
  <c r="M40" i="75"/>
  <c r="L40" i="75"/>
  <c r="J40" i="75"/>
  <c r="J39" i="75"/>
  <c r="K39" i="75" s="1"/>
  <c r="J38" i="75"/>
  <c r="D38" i="75"/>
  <c r="J37" i="75"/>
  <c r="E37" i="75"/>
  <c r="E36" i="75"/>
  <c r="E35" i="75"/>
  <c r="I34" i="75"/>
  <c r="J15" i="75" s="1"/>
  <c r="E34" i="75"/>
  <c r="E33" i="75"/>
  <c r="E32" i="75"/>
  <c r="E31" i="75"/>
  <c r="P30" i="75"/>
  <c r="E30" i="75"/>
  <c r="P29" i="75"/>
  <c r="E29" i="75"/>
  <c r="P28" i="75"/>
  <c r="E28" i="75"/>
  <c r="P27" i="75"/>
  <c r="E27" i="75"/>
  <c r="P26" i="75"/>
  <c r="E26" i="75"/>
  <c r="P25" i="75"/>
  <c r="E25" i="75"/>
  <c r="P24" i="75"/>
  <c r="E24" i="75"/>
  <c r="P23" i="75"/>
  <c r="E23" i="75"/>
  <c r="P22" i="75"/>
  <c r="E22" i="75"/>
  <c r="P21" i="75"/>
  <c r="E21" i="75"/>
  <c r="P20" i="75"/>
  <c r="M39" i="75" s="1"/>
  <c r="E20" i="75"/>
  <c r="P19" i="75"/>
  <c r="E19" i="75"/>
  <c r="P18" i="75"/>
  <c r="M38" i="75" s="1"/>
  <c r="L38" i="75" s="1"/>
  <c r="K18" i="75"/>
  <c r="K19" i="75" s="1"/>
  <c r="K20" i="75" s="1"/>
  <c r="K21" i="75" s="1"/>
  <c r="K22" i="75" s="1"/>
  <c r="K23" i="75" s="1"/>
  <c r="K24" i="75" s="1"/>
  <c r="K25" i="75" s="1"/>
  <c r="K26" i="75" s="1"/>
  <c r="K27" i="75" s="1"/>
  <c r="K28" i="75" s="1"/>
  <c r="K29" i="75" s="1"/>
  <c r="K30" i="75" s="1"/>
  <c r="K34" i="75" s="1"/>
  <c r="J34" i="75" s="1"/>
  <c r="E18" i="75"/>
  <c r="E17" i="75"/>
  <c r="P16" i="75"/>
  <c r="E16" i="75"/>
  <c r="E38" i="75" s="1"/>
  <c r="P15" i="75"/>
  <c r="M37" i="75" s="1"/>
  <c r="L37" i="75" s="1"/>
  <c r="E15" i="75"/>
  <c r="F11" i="75"/>
  <c r="F9" i="75"/>
  <c r="M38" i="82" l="1"/>
  <c r="L38" i="82" s="1"/>
  <c r="J41" i="82"/>
  <c r="L41" i="82" s="1"/>
  <c r="K34" i="82"/>
  <c r="J34" i="82" s="1"/>
  <c r="E30" i="82"/>
  <c r="E21" i="82"/>
  <c r="E22" i="82"/>
  <c r="E26" i="82"/>
  <c r="E19" i="82"/>
  <c r="E23" i="82"/>
  <c r="E27" i="82"/>
  <c r="E32" i="82"/>
  <c r="E16" i="82"/>
  <c r="E34" i="82"/>
  <c r="E15" i="82"/>
  <c r="E20" i="82"/>
  <c r="E24" i="82"/>
  <c r="E28" i="82"/>
  <c r="E35" i="82"/>
  <c r="E37" i="82"/>
  <c r="E25" i="82"/>
  <c r="E29" i="82"/>
  <c r="E17" i="82"/>
  <c r="E18" i="82"/>
  <c r="K53" i="82"/>
  <c r="M52" i="82"/>
  <c r="J18" i="82"/>
  <c r="J20" i="82"/>
  <c r="J22" i="82"/>
  <c r="J24" i="82"/>
  <c r="J26" i="82"/>
  <c r="J28" i="82"/>
  <c r="J30" i="82"/>
  <c r="K39" i="82"/>
  <c r="K37" i="82"/>
  <c r="E12" i="82"/>
  <c r="F12" i="82" s="1"/>
  <c r="D39" i="82" s="1"/>
  <c r="G9" i="82"/>
  <c r="E31" i="82"/>
  <c r="E36" i="82"/>
  <c r="M39" i="82"/>
  <c r="J16" i="82"/>
  <c r="J19" i="82"/>
  <c r="J21" i="82"/>
  <c r="J23" i="82"/>
  <c r="J25" i="82"/>
  <c r="J27" i="82"/>
  <c r="K38" i="82"/>
  <c r="I44" i="82"/>
  <c r="M39" i="81"/>
  <c r="L39" i="81" s="1"/>
  <c r="M38" i="81"/>
  <c r="I51" i="81"/>
  <c r="K51" i="81" s="1"/>
  <c r="K52" i="81" s="1"/>
  <c r="K53" i="81" s="1"/>
  <c r="K38" i="81"/>
  <c r="K37" i="81"/>
  <c r="L38" i="81"/>
  <c r="M37" i="81"/>
  <c r="L37" i="81" s="1"/>
  <c r="I44" i="76"/>
  <c r="J26" i="76"/>
  <c r="J18" i="76"/>
  <c r="J21" i="76"/>
  <c r="J25" i="76"/>
  <c r="J29" i="76"/>
  <c r="M37" i="76"/>
  <c r="L37" i="76" s="1"/>
  <c r="J41" i="76"/>
  <c r="L41" i="76" s="1"/>
  <c r="K34" i="76"/>
  <c r="J34" i="76" s="1"/>
  <c r="J23" i="76"/>
  <c r="J27" i="76"/>
  <c r="J16" i="76"/>
  <c r="J20" i="76"/>
  <c r="J24" i="76"/>
  <c r="K34" i="80"/>
  <c r="J34" i="80" s="1"/>
  <c r="K44" i="81"/>
  <c r="K45" i="81" s="1"/>
  <c r="K46" i="81" s="1"/>
  <c r="K47" i="81" s="1"/>
  <c r="I48" i="81"/>
  <c r="M42" i="81"/>
  <c r="M51" i="81"/>
  <c r="F12" i="81"/>
  <c r="D39" i="81" s="1"/>
  <c r="J41" i="81"/>
  <c r="L41" i="81" s="1"/>
  <c r="K39" i="81"/>
  <c r="G9" i="81"/>
  <c r="E32" i="81"/>
  <c r="E38" i="81" s="1"/>
  <c r="E37" i="81"/>
  <c r="K38" i="80"/>
  <c r="M38" i="80"/>
  <c r="L38" i="80" s="1"/>
  <c r="M39" i="80"/>
  <c r="M51" i="80" s="1"/>
  <c r="L51" i="80" s="1"/>
  <c r="J41" i="80"/>
  <c r="L41" i="80" s="1"/>
  <c r="K37" i="80"/>
  <c r="E28" i="80"/>
  <c r="G10" i="80"/>
  <c r="E12" i="80"/>
  <c r="F12" i="80" s="1"/>
  <c r="D39" i="80" s="1"/>
  <c r="K53" i="80"/>
  <c r="M52" i="80"/>
  <c r="J15" i="80"/>
  <c r="K39" i="80"/>
  <c r="E25" i="80"/>
  <c r="E36" i="80"/>
  <c r="J19" i="80"/>
  <c r="J21" i="80"/>
  <c r="J23" i="80"/>
  <c r="J25" i="80"/>
  <c r="J29" i="80"/>
  <c r="E32" i="80"/>
  <c r="I44" i="80"/>
  <c r="E33" i="80"/>
  <c r="J18" i="80"/>
  <c r="J20" i="80"/>
  <c r="J22" i="80"/>
  <c r="J24" i="80"/>
  <c r="J26" i="80"/>
  <c r="J28" i="80"/>
  <c r="J30" i="80"/>
  <c r="E35" i="80"/>
  <c r="E16" i="80"/>
  <c r="E19" i="80"/>
  <c r="E21" i="80"/>
  <c r="E23" i="80"/>
  <c r="E27" i="80"/>
  <c r="E29" i="80"/>
  <c r="E31" i="80"/>
  <c r="J16" i="80"/>
  <c r="E37" i="80"/>
  <c r="E17" i="80"/>
  <c r="L39" i="79"/>
  <c r="M42" i="79"/>
  <c r="M51" i="79"/>
  <c r="L51" i="79" s="1"/>
  <c r="K53" i="79"/>
  <c r="M52" i="79"/>
  <c r="J18" i="79"/>
  <c r="J20" i="79"/>
  <c r="J22" i="79"/>
  <c r="J24" i="79"/>
  <c r="J26" i="79"/>
  <c r="J28" i="79"/>
  <c r="J30" i="79"/>
  <c r="J15" i="79"/>
  <c r="K39" i="79"/>
  <c r="K41" i="79" s="1"/>
  <c r="J16" i="79"/>
  <c r="J19" i="79"/>
  <c r="J21" i="79"/>
  <c r="J23" i="79"/>
  <c r="J25" i="79"/>
  <c r="J27" i="79"/>
  <c r="E32" i="79"/>
  <c r="E37" i="79"/>
  <c r="I44" i="79"/>
  <c r="E12" i="77"/>
  <c r="F12" i="77" s="1"/>
  <c r="D39" i="77" s="1"/>
  <c r="G9" i="77"/>
  <c r="M39" i="77"/>
  <c r="M42" i="77" s="1"/>
  <c r="M38" i="77"/>
  <c r="L38" i="77" s="1"/>
  <c r="J30" i="77"/>
  <c r="J25" i="77"/>
  <c r="J26" i="77"/>
  <c r="J41" i="77"/>
  <c r="J21" i="77"/>
  <c r="K38" i="77"/>
  <c r="J18" i="77"/>
  <c r="J23" i="77"/>
  <c r="K34" i="77"/>
  <c r="J34" i="77" s="1"/>
  <c r="J27" i="77"/>
  <c r="J19" i="77"/>
  <c r="M37" i="77"/>
  <c r="L37" i="77" s="1"/>
  <c r="J22" i="77"/>
  <c r="J15" i="77"/>
  <c r="J29" i="77"/>
  <c r="K39" i="77"/>
  <c r="J16" i="77"/>
  <c r="J20" i="77"/>
  <c r="J24" i="77"/>
  <c r="K37" i="77"/>
  <c r="L41" i="77"/>
  <c r="K48" i="77"/>
  <c r="M47" i="77"/>
  <c r="K53" i="77"/>
  <c r="M52" i="77"/>
  <c r="E34" i="77"/>
  <c r="E18" i="77"/>
  <c r="E20" i="77"/>
  <c r="E22" i="77"/>
  <c r="E24" i="77"/>
  <c r="E26" i="77"/>
  <c r="E28" i="77"/>
  <c r="E30" i="77"/>
  <c r="E35" i="77"/>
  <c r="E16" i="77"/>
  <c r="E19" i="77"/>
  <c r="E21" i="77"/>
  <c r="E38" i="77" s="1"/>
  <c r="E23" i="77"/>
  <c r="E25" i="77"/>
  <c r="E27" i="77"/>
  <c r="E29" i="77"/>
  <c r="E31" i="77"/>
  <c r="E36" i="77"/>
  <c r="E32" i="77"/>
  <c r="E37" i="77"/>
  <c r="E25" i="76"/>
  <c r="E24" i="76"/>
  <c r="E27" i="76"/>
  <c r="E22" i="76"/>
  <c r="E31" i="76"/>
  <c r="E34" i="76"/>
  <c r="E23" i="76"/>
  <c r="E29" i="76"/>
  <c r="E35" i="76"/>
  <c r="E17" i="76"/>
  <c r="E37" i="76"/>
  <c r="E18" i="76"/>
  <c r="E15" i="76"/>
  <c r="E21" i="76"/>
  <c r="E16" i="76"/>
  <c r="E19" i="76"/>
  <c r="E30" i="76"/>
  <c r="E36" i="76"/>
  <c r="E20" i="76"/>
  <c r="E28" i="76"/>
  <c r="E26" i="76"/>
  <c r="E32" i="76"/>
  <c r="M52" i="76"/>
  <c r="K53" i="76"/>
  <c r="M42" i="76"/>
  <c r="L39" i="76"/>
  <c r="M51" i="76"/>
  <c r="L51" i="76" s="1"/>
  <c r="E12" i="76"/>
  <c r="F12" i="76" s="1"/>
  <c r="D39" i="76" s="1"/>
  <c r="K37" i="76"/>
  <c r="K39" i="76"/>
  <c r="G10" i="75"/>
  <c r="J23" i="75"/>
  <c r="J19" i="75"/>
  <c r="J25" i="75"/>
  <c r="J27" i="75"/>
  <c r="J21" i="75"/>
  <c r="K37" i="75"/>
  <c r="K38" i="75"/>
  <c r="J16" i="75"/>
  <c r="I51" i="75"/>
  <c r="K51" i="75" s="1"/>
  <c r="K52" i="75" s="1"/>
  <c r="K53" i="75" s="1"/>
  <c r="J29" i="75"/>
  <c r="M42" i="75"/>
  <c r="L39" i="75"/>
  <c r="M51" i="75"/>
  <c r="J41" i="75"/>
  <c r="L41" i="75" s="1"/>
  <c r="E12" i="75"/>
  <c r="F12" i="75" s="1"/>
  <c r="D39" i="75" s="1"/>
  <c r="J18" i="75"/>
  <c r="J20" i="75"/>
  <c r="J22" i="75"/>
  <c r="J24" i="75"/>
  <c r="J26" i="75"/>
  <c r="J28" i="75"/>
  <c r="J30" i="75"/>
  <c r="E38" i="79" l="1"/>
  <c r="K41" i="82"/>
  <c r="E38" i="82"/>
  <c r="K44" i="82"/>
  <c r="K45" i="82" s="1"/>
  <c r="K46" i="82" s="1"/>
  <c r="K47" i="82" s="1"/>
  <c r="I48" i="82"/>
  <c r="L39" i="82"/>
  <c r="M42" i="82"/>
  <c r="M51" i="82"/>
  <c r="L51" i="82" s="1"/>
  <c r="K54" i="82"/>
  <c r="M53" i="82"/>
  <c r="L51" i="81"/>
  <c r="K41" i="81"/>
  <c r="M52" i="81"/>
  <c r="K44" i="76"/>
  <c r="K45" i="76" s="1"/>
  <c r="K46" i="76" s="1"/>
  <c r="K47" i="76" s="1"/>
  <c r="I48" i="76"/>
  <c r="K54" i="81"/>
  <c r="M53" i="81"/>
  <c r="K48" i="81"/>
  <c r="M47" i="81"/>
  <c r="M42" i="80"/>
  <c r="L39" i="80"/>
  <c r="K41" i="80"/>
  <c r="E38" i="80"/>
  <c r="I48" i="80"/>
  <c r="K44" i="80"/>
  <c r="K45" i="80" s="1"/>
  <c r="K46" i="80" s="1"/>
  <c r="K47" i="80" s="1"/>
  <c r="K54" i="80"/>
  <c r="M53" i="80"/>
  <c r="K54" i="79"/>
  <c r="M53" i="79"/>
  <c r="K44" i="79"/>
  <c r="K45" i="79" s="1"/>
  <c r="K46" i="79" s="1"/>
  <c r="K47" i="79" s="1"/>
  <c r="I48" i="79"/>
  <c r="M51" i="77"/>
  <c r="L51" i="77" s="1"/>
  <c r="L39" i="77"/>
  <c r="K41" i="77"/>
  <c r="K54" i="77"/>
  <c r="M53" i="77"/>
  <c r="E38" i="76"/>
  <c r="K54" i="76"/>
  <c r="M53" i="76"/>
  <c r="K41" i="76"/>
  <c r="M52" i="75"/>
  <c r="K41" i="75"/>
  <c r="L51" i="75"/>
  <c r="I48" i="75"/>
  <c r="K44" i="75"/>
  <c r="K45" i="75" s="1"/>
  <c r="K46" i="75" s="1"/>
  <c r="K47" i="75" s="1"/>
  <c r="K54" i="75"/>
  <c r="M53" i="75"/>
  <c r="M54" i="82" l="1"/>
  <c r="K55" i="82"/>
  <c r="K48" i="82"/>
  <c r="M47" i="82"/>
  <c r="M47" i="76"/>
  <c r="K48" i="76"/>
  <c r="M54" i="81"/>
  <c r="K55" i="81"/>
  <c r="M54" i="80"/>
  <c r="K55" i="80"/>
  <c r="K48" i="80"/>
  <c r="M47" i="80"/>
  <c r="K48" i="79"/>
  <c r="M47" i="79"/>
  <c r="M54" i="79"/>
  <c r="K55" i="79"/>
  <c r="M54" i="77"/>
  <c r="K55" i="77"/>
  <c r="K55" i="76"/>
  <c r="M54" i="76"/>
  <c r="K48" i="75"/>
  <c r="M47" i="75"/>
  <c r="M54" i="75"/>
  <c r="K55" i="75"/>
  <c r="K56" i="82" l="1"/>
  <c r="M55" i="82"/>
  <c r="K56" i="81"/>
  <c r="M55" i="81"/>
  <c r="K56" i="80"/>
  <c r="M55" i="80"/>
  <c r="K56" i="79"/>
  <c r="M55" i="79"/>
  <c r="K56" i="77"/>
  <c r="M55" i="77"/>
  <c r="K56" i="76"/>
  <c r="M55" i="76"/>
  <c r="K56" i="75"/>
  <c r="M55" i="75"/>
  <c r="K57" i="82" l="1"/>
  <c r="M56" i="82"/>
  <c r="K57" i="81"/>
  <c r="M56" i="81"/>
  <c r="M56" i="80"/>
  <c r="K57" i="80"/>
  <c r="K57" i="79"/>
  <c r="M56" i="79"/>
  <c r="K57" i="77"/>
  <c r="M56" i="77"/>
  <c r="K57" i="76"/>
  <c r="M56" i="76"/>
  <c r="K57" i="75"/>
  <c r="M56" i="75"/>
  <c r="K58" i="82" l="1"/>
  <c r="M57" i="82"/>
  <c r="K58" i="81"/>
  <c r="M57" i="81"/>
  <c r="K58" i="80"/>
  <c r="M57" i="80"/>
  <c r="K58" i="79"/>
  <c r="M57" i="79"/>
  <c r="K58" i="77"/>
  <c r="M57" i="77"/>
  <c r="M57" i="76"/>
  <c r="K58" i="76"/>
  <c r="K58" i="75"/>
  <c r="M57" i="75"/>
  <c r="J58" i="74" l="1"/>
  <c r="J48" i="74"/>
  <c r="M41" i="74"/>
  <c r="M40" i="74"/>
  <c r="J40" i="74"/>
  <c r="L40" i="74" s="1"/>
  <c r="J39" i="74"/>
  <c r="I51" i="74" s="1"/>
  <c r="K51" i="74" s="1"/>
  <c r="K52" i="74" s="1"/>
  <c r="J38" i="74"/>
  <c r="D38" i="74"/>
  <c r="E34" i="74" s="1"/>
  <c r="M37" i="74"/>
  <c r="L37" i="74"/>
  <c r="J37" i="74"/>
  <c r="I34" i="74"/>
  <c r="J29" i="74" s="1"/>
  <c r="P30" i="74"/>
  <c r="E30" i="74"/>
  <c r="P29" i="74"/>
  <c r="P28" i="74"/>
  <c r="E28" i="74"/>
  <c r="P27" i="74"/>
  <c r="P26" i="74"/>
  <c r="E26" i="74"/>
  <c r="P25" i="74"/>
  <c r="P24" i="74"/>
  <c r="E24" i="74"/>
  <c r="P23" i="74"/>
  <c r="P22" i="74"/>
  <c r="E22" i="74"/>
  <c r="P21" i="74"/>
  <c r="P20" i="74"/>
  <c r="M39" i="74" s="1"/>
  <c r="E20" i="74"/>
  <c r="P19" i="74"/>
  <c r="P18" i="74"/>
  <c r="M38" i="74" s="1"/>
  <c r="L38" i="74" s="1"/>
  <c r="K18" i="74"/>
  <c r="K19" i="74" s="1"/>
  <c r="K20" i="74" s="1"/>
  <c r="K21" i="74" s="1"/>
  <c r="K22" i="74" s="1"/>
  <c r="K23" i="74" s="1"/>
  <c r="K24" i="74" s="1"/>
  <c r="K25" i="74" s="1"/>
  <c r="K26" i="74" s="1"/>
  <c r="K27" i="74" s="1"/>
  <c r="K28" i="74" s="1"/>
  <c r="K29" i="74" s="1"/>
  <c r="K30" i="74" s="1"/>
  <c r="K34" i="74" s="1"/>
  <c r="J34" i="74" s="1"/>
  <c r="E18" i="74"/>
  <c r="P16" i="74"/>
  <c r="P15" i="74"/>
  <c r="E15" i="74"/>
  <c r="D12" i="74"/>
  <c r="G9" i="74" s="1"/>
  <c r="F11" i="74"/>
  <c r="F9" i="74"/>
  <c r="J58" i="73"/>
  <c r="J48" i="73"/>
  <c r="M41" i="73"/>
  <c r="M40" i="73"/>
  <c r="J40" i="73"/>
  <c r="L40" i="73" s="1"/>
  <c r="J39" i="73"/>
  <c r="I51" i="73" s="1"/>
  <c r="K51" i="73" s="1"/>
  <c r="K52" i="73" s="1"/>
  <c r="K38" i="73"/>
  <c r="J38" i="73"/>
  <c r="D38" i="73"/>
  <c r="E37" i="73" s="1"/>
  <c r="M37" i="73"/>
  <c r="L37" i="73" s="1"/>
  <c r="J37" i="73"/>
  <c r="J41" i="73" s="1"/>
  <c r="L41" i="73" s="1"/>
  <c r="I34" i="73"/>
  <c r="P30" i="73"/>
  <c r="J30" i="73"/>
  <c r="P29" i="73"/>
  <c r="J29" i="73"/>
  <c r="P28" i="73"/>
  <c r="J28" i="73"/>
  <c r="P27" i="73"/>
  <c r="J27" i="73"/>
  <c r="P26" i="73"/>
  <c r="J26" i="73"/>
  <c r="P25" i="73"/>
  <c r="J25" i="73"/>
  <c r="P24" i="73"/>
  <c r="J24" i="73"/>
  <c r="P23" i="73"/>
  <c r="J23" i="73"/>
  <c r="P22" i="73"/>
  <c r="J22" i="73"/>
  <c r="P21" i="73"/>
  <c r="J21" i="73"/>
  <c r="P20" i="73"/>
  <c r="J20" i="73"/>
  <c r="P19" i="73"/>
  <c r="M39" i="73" s="1"/>
  <c r="J19" i="73"/>
  <c r="P18" i="73"/>
  <c r="M38" i="73" s="1"/>
  <c r="L38" i="73" s="1"/>
  <c r="K18" i="73"/>
  <c r="K19" i="73" s="1"/>
  <c r="K20" i="73" s="1"/>
  <c r="K21" i="73" s="1"/>
  <c r="K22" i="73" s="1"/>
  <c r="K23" i="73" s="1"/>
  <c r="K24" i="73" s="1"/>
  <c r="K25" i="73" s="1"/>
  <c r="K26" i="73" s="1"/>
  <c r="K27" i="73" s="1"/>
  <c r="K28" i="73" s="1"/>
  <c r="K29" i="73" s="1"/>
  <c r="K30" i="73" s="1"/>
  <c r="K34" i="73" s="1"/>
  <c r="J34" i="73" s="1"/>
  <c r="J18" i="73"/>
  <c r="P16" i="73"/>
  <c r="J16" i="73"/>
  <c r="P15" i="73"/>
  <c r="J15" i="73"/>
  <c r="D12" i="73"/>
  <c r="F11" i="73"/>
  <c r="F9" i="73"/>
  <c r="J41" i="74" l="1"/>
  <c r="L41" i="74" s="1"/>
  <c r="K37" i="74"/>
  <c r="K38" i="74"/>
  <c r="E12" i="74"/>
  <c r="F12" i="74" s="1"/>
  <c r="D39" i="74" s="1"/>
  <c r="G10" i="74"/>
  <c r="K53" i="74"/>
  <c r="M52" i="74"/>
  <c r="M42" i="74"/>
  <c r="L39" i="74"/>
  <c r="M51" i="74"/>
  <c r="L51" i="74" s="1"/>
  <c r="J18" i="74"/>
  <c r="J20" i="74"/>
  <c r="J22" i="74"/>
  <c r="J24" i="74"/>
  <c r="J26" i="74"/>
  <c r="J28" i="74"/>
  <c r="J30" i="74"/>
  <c r="J15" i="74"/>
  <c r="K39" i="74"/>
  <c r="K41" i="74" s="1"/>
  <c r="E35" i="74"/>
  <c r="E16" i="74"/>
  <c r="E19" i="74"/>
  <c r="E21" i="74"/>
  <c r="E23" i="74"/>
  <c r="E25" i="74"/>
  <c r="E27" i="74"/>
  <c r="E29" i="74"/>
  <c r="E31" i="74"/>
  <c r="E36" i="74"/>
  <c r="J16" i="74"/>
  <c r="J19" i="74"/>
  <c r="J21" i="74"/>
  <c r="J23" i="74"/>
  <c r="J25" i="74"/>
  <c r="J27" i="74"/>
  <c r="E32" i="74"/>
  <c r="E37" i="74"/>
  <c r="I44" i="74"/>
  <c r="E33" i="74"/>
  <c r="E17" i="74"/>
  <c r="E38" i="74" s="1"/>
  <c r="E32" i="73"/>
  <c r="E15" i="73"/>
  <c r="E33" i="73"/>
  <c r="G9" i="73"/>
  <c r="G10" i="73"/>
  <c r="M42" i="73"/>
  <c r="L39" i="73"/>
  <c r="M51" i="73"/>
  <c r="L51" i="73" s="1"/>
  <c r="K53" i="73"/>
  <c r="M52" i="73"/>
  <c r="I44" i="73"/>
  <c r="K39" i="73"/>
  <c r="E12" i="73"/>
  <c r="F12" i="73" s="1"/>
  <c r="D39" i="73" s="1"/>
  <c r="E17" i="73"/>
  <c r="E34" i="73"/>
  <c r="E35" i="73"/>
  <c r="K37" i="73"/>
  <c r="K41" i="73" s="1"/>
  <c r="E16" i="73"/>
  <c r="E18" i="73"/>
  <c r="E19" i="73"/>
  <c r="E20" i="73"/>
  <c r="E21" i="73"/>
  <c r="E22" i="73"/>
  <c r="E23" i="73"/>
  <c r="E24" i="73"/>
  <c r="E25" i="73"/>
  <c r="E26" i="73"/>
  <c r="E27" i="73"/>
  <c r="E28" i="73"/>
  <c r="E29" i="73"/>
  <c r="E30" i="73"/>
  <c r="E31" i="73"/>
  <c r="E36" i="73"/>
  <c r="K44" i="74" l="1"/>
  <c r="K45" i="74" s="1"/>
  <c r="K46" i="74" s="1"/>
  <c r="K47" i="74" s="1"/>
  <c r="I48" i="74"/>
  <c r="K54" i="74"/>
  <c r="M53" i="74"/>
  <c r="E38" i="73"/>
  <c r="K54" i="73"/>
  <c r="M53" i="73"/>
  <c r="I48" i="73"/>
  <c r="K44" i="73"/>
  <c r="K45" i="73" s="1"/>
  <c r="K46" i="73" s="1"/>
  <c r="K47" i="73" s="1"/>
  <c r="M54" i="74" l="1"/>
  <c r="K55" i="74"/>
  <c r="K48" i="74"/>
  <c r="M47" i="74"/>
  <c r="M47" i="73"/>
  <c r="K48" i="73"/>
  <c r="K55" i="73"/>
  <c r="M54" i="73"/>
  <c r="K56" i="74" l="1"/>
  <c r="M55" i="74"/>
  <c r="K56" i="73"/>
  <c r="M55" i="73"/>
  <c r="K57" i="74" l="1"/>
  <c r="M56" i="74"/>
  <c r="K57" i="73"/>
  <c r="M56" i="73"/>
  <c r="K58" i="74" l="1"/>
  <c r="M57" i="74"/>
  <c r="K58" i="73"/>
  <c r="M57" i="73"/>
  <c r="L3" i="22" l="1"/>
  <c r="H3" i="22"/>
</calcChain>
</file>

<file path=xl/sharedStrings.xml><?xml version="1.0" encoding="utf-8"?>
<sst xmlns="http://schemas.openxmlformats.org/spreadsheetml/2006/main" count="1777" uniqueCount="214">
  <si>
    <t>ABV</t>
  </si>
  <si>
    <t>Source</t>
  </si>
  <si>
    <t>Dilution</t>
  </si>
  <si>
    <t>Volume 
(L)</t>
  </si>
  <si>
    <t>Time</t>
  </si>
  <si>
    <t>Observations</t>
  </si>
  <si>
    <r>
      <rPr>
        <b/>
        <sz val="11"/>
        <color theme="1"/>
        <rFont val="Calibri"/>
        <family val="2"/>
        <scheme val="minor"/>
      </rPr>
      <t>Ambient</t>
    </r>
    <r>
      <rPr>
        <b/>
        <u/>
        <sz val="11"/>
        <color theme="1"/>
        <rFont val="Calibri"/>
        <family val="2"/>
        <scheme val="minor"/>
      </rPr>
      <t xml:space="preserve">
Temp (C)</t>
    </r>
  </si>
  <si>
    <t>Raw</t>
  </si>
  <si>
    <t>Other</t>
  </si>
  <si>
    <t>Charge Adjustment:</t>
  </si>
  <si>
    <t>Date #</t>
  </si>
  <si>
    <t>Still Used #</t>
  </si>
  <si>
    <t>LAL</t>
  </si>
  <si>
    <t>Phase</t>
  </si>
  <si>
    <t>Middle Run (Hearts)</t>
  </si>
  <si>
    <t>Tails</t>
  </si>
  <si>
    <r>
      <rPr>
        <b/>
        <sz val="11"/>
        <color theme="1"/>
        <rFont val="Calibri"/>
        <family val="2"/>
        <scheme val="minor"/>
      </rPr>
      <t>Head</t>
    </r>
    <r>
      <rPr>
        <b/>
        <u/>
        <sz val="11"/>
        <color theme="1"/>
        <rFont val="Calibri"/>
        <family val="2"/>
        <scheme val="minor"/>
      </rPr>
      <t xml:space="preserve">
Temp (C)</t>
    </r>
  </si>
  <si>
    <t>Total Run</t>
  </si>
  <si>
    <r>
      <rPr>
        <b/>
        <sz val="11"/>
        <color theme="1"/>
        <rFont val="Calibri"/>
        <family val="2"/>
        <scheme val="minor"/>
      </rPr>
      <t>Volume</t>
    </r>
    <r>
      <rPr>
        <b/>
        <u/>
        <sz val="11"/>
        <color theme="1"/>
        <rFont val="Calibri"/>
        <family val="2"/>
        <scheme val="minor"/>
      </rPr>
      <t xml:space="preserve">
(L)</t>
    </r>
  </si>
  <si>
    <r>
      <rPr>
        <b/>
        <sz val="11"/>
        <color theme="1"/>
        <rFont val="Calibri"/>
        <family val="2"/>
        <scheme val="minor"/>
      </rPr>
      <t>Volume</t>
    </r>
    <r>
      <rPr>
        <b/>
        <u/>
        <sz val="11"/>
        <color theme="1"/>
        <rFont val="Calibri"/>
        <family val="2"/>
        <scheme val="minor"/>
      </rPr>
      <t xml:space="preserve">
%</t>
    </r>
  </si>
  <si>
    <r>
      <rPr>
        <b/>
        <sz val="11"/>
        <color theme="1"/>
        <rFont val="Calibri"/>
        <family val="2"/>
        <scheme val="minor"/>
      </rPr>
      <t>VC Tank</t>
    </r>
    <r>
      <rPr>
        <b/>
        <u/>
        <sz val="11"/>
        <color theme="1"/>
        <rFont val="Calibri"/>
        <family val="2"/>
        <scheme val="minor"/>
      </rPr>
      <t xml:space="preserve">
Volume (L)</t>
    </r>
  </si>
  <si>
    <r>
      <rPr>
        <b/>
        <sz val="11"/>
        <color theme="1"/>
        <rFont val="Calibri"/>
        <family val="2"/>
        <scheme val="minor"/>
      </rPr>
      <t>Condenser</t>
    </r>
    <r>
      <rPr>
        <b/>
        <u/>
        <sz val="11"/>
        <color theme="1"/>
        <rFont val="Calibri"/>
        <family val="2"/>
        <scheme val="minor"/>
      </rPr>
      <t xml:space="preserve">
Temp ©</t>
    </r>
  </si>
  <si>
    <t>Still Setup</t>
  </si>
  <si>
    <t>Elements:</t>
  </si>
  <si>
    <t>Plates:</t>
  </si>
  <si>
    <t>Options:</t>
  </si>
  <si>
    <t>5750W * 2; 2400W</t>
  </si>
  <si>
    <t>Foreshots</t>
  </si>
  <si>
    <t>Heads</t>
  </si>
  <si>
    <r>
      <t xml:space="preserve">Volume
</t>
    </r>
    <r>
      <rPr>
        <b/>
        <u/>
        <sz val="11"/>
        <color theme="1"/>
        <rFont val="Calibri"/>
        <family val="2"/>
        <scheme val="minor"/>
      </rPr>
      <t>(L)</t>
    </r>
  </si>
  <si>
    <r>
      <rPr>
        <b/>
        <sz val="11"/>
        <color theme="1"/>
        <rFont val="Calibri"/>
        <family val="2"/>
        <scheme val="minor"/>
      </rPr>
      <t>Volume</t>
    </r>
    <r>
      <rPr>
        <b/>
        <u/>
        <sz val="11"/>
        <color theme="1"/>
        <rFont val="Calibri"/>
        <family val="2"/>
        <scheme val="minor"/>
      </rPr>
      <t xml:space="preserve">
(%)</t>
    </r>
  </si>
  <si>
    <t>Discarded</t>
  </si>
  <si>
    <t>Total Charge</t>
  </si>
  <si>
    <t>SKU</t>
  </si>
  <si>
    <t>Notes</t>
  </si>
  <si>
    <t xml:space="preserve">
Date</t>
  </si>
  <si>
    <t>Still</t>
  </si>
  <si>
    <t>Charge (L)</t>
  </si>
  <si>
    <t>Spirits Run #</t>
  </si>
  <si>
    <r>
      <rPr>
        <b/>
        <sz val="11"/>
        <color theme="1"/>
        <rFont val="Calibri"/>
        <family val="2"/>
        <scheme val="minor"/>
      </rPr>
      <t>Receiving</t>
    </r>
    <r>
      <rPr>
        <b/>
        <u/>
        <sz val="11"/>
        <color theme="1"/>
        <rFont val="Calibri"/>
        <family val="2"/>
        <scheme val="minor"/>
      </rPr>
      <t xml:space="preserve"> 
Vessel</t>
    </r>
  </si>
  <si>
    <t>Output</t>
  </si>
  <si>
    <t>Hearts</t>
  </si>
  <si>
    <t>Ehthanol</t>
  </si>
  <si>
    <t>Saltwater</t>
  </si>
  <si>
    <t>Filtered Water</t>
  </si>
  <si>
    <t>Manildra NC96</t>
  </si>
  <si>
    <t>Steeping:</t>
  </si>
  <si>
    <t>Botanical</t>
  </si>
  <si>
    <t>Weight (g)</t>
  </si>
  <si>
    <t>Ratio</t>
  </si>
  <si>
    <t>Juniper</t>
  </si>
  <si>
    <t>Macadamia</t>
  </si>
  <si>
    <t>Cardamon</t>
  </si>
  <si>
    <t>Lavender</t>
  </si>
  <si>
    <t>Chamomile</t>
  </si>
  <si>
    <t>Elderflower</t>
  </si>
  <si>
    <t>Pepperberry</t>
  </si>
  <si>
    <t>Mint</t>
  </si>
  <si>
    <t>Coconut</t>
  </si>
  <si>
    <t>Total</t>
  </si>
  <si>
    <t>Angelica</t>
  </si>
  <si>
    <t>Manildra NV-96</t>
  </si>
  <si>
    <t>Crushed / steeped</t>
  </si>
  <si>
    <t>Cassia</t>
  </si>
  <si>
    <t>Orris Root</t>
  </si>
  <si>
    <t>Sliced fresh macadamia</t>
  </si>
  <si>
    <t>Zero plates</t>
  </si>
  <si>
    <t>14 hours (Juniper, Coriander)</t>
  </si>
  <si>
    <t>20L Waste</t>
  </si>
  <si>
    <t>#1</t>
  </si>
  <si>
    <t>#2</t>
  </si>
  <si>
    <t>#3</t>
  </si>
  <si>
    <t>#4</t>
  </si>
  <si>
    <r>
      <rPr>
        <b/>
        <sz val="11"/>
        <color theme="1"/>
        <rFont val="Calibri"/>
        <family val="2"/>
        <scheme val="minor"/>
      </rPr>
      <t>Filtered</t>
    </r>
    <r>
      <rPr>
        <b/>
        <u/>
        <sz val="11"/>
        <color theme="1"/>
        <rFont val="Calibri"/>
        <family val="2"/>
        <scheme val="minor"/>
      </rPr>
      <t xml:space="preserve">
Water</t>
    </r>
  </si>
  <si>
    <r>
      <t xml:space="preserve">New
</t>
    </r>
    <r>
      <rPr>
        <b/>
        <u/>
        <sz val="11"/>
        <color theme="1"/>
        <rFont val="Calibri"/>
        <family val="2"/>
        <scheme val="minor"/>
      </rPr>
      <t>Volume</t>
    </r>
  </si>
  <si>
    <t>Date Added</t>
  </si>
  <si>
    <r>
      <rPr>
        <b/>
        <sz val="11"/>
        <color theme="1"/>
        <rFont val="Calibri"/>
        <family val="2"/>
        <scheme val="minor"/>
      </rPr>
      <t xml:space="preserve">New 
</t>
    </r>
    <r>
      <rPr>
        <b/>
        <u/>
        <sz val="11"/>
        <color theme="1"/>
        <rFont val="Calibri"/>
        <family val="2"/>
        <scheme val="minor"/>
      </rPr>
      <t>Make</t>
    </r>
  </si>
  <si>
    <t>Final Output Run</t>
  </si>
  <si>
    <t>Botanicals (g) per LAL</t>
  </si>
  <si>
    <r>
      <rPr>
        <b/>
        <sz val="11"/>
        <color theme="1"/>
        <rFont val="Calibri"/>
        <family val="2"/>
        <scheme val="minor"/>
      </rPr>
      <t>Filtered</t>
    </r>
    <r>
      <rPr>
        <b/>
        <u/>
        <sz val="11"/>
        <color theme="1"/>
        <rFont val="Calibri"/>
        <family val="2"/>
        <scheme val="minor"/>
      </rPr>
      <t xml:space="preserve">
Water (L)</t>
    </r>
  </si>
  <si>
    <r>
      <rPr>
        <b/>
        <sz val="11"/>
        <color theme="1"/>
        <rFont val="Calibri"/>
        <family val="2"/>
        <scheme val="minor"/>
      </rPr>
      <t xml:space="preserve">New 
</t>
    </r>
    <r>
      <rPr>
        <b/>
        <u/>
        <sz val="11"/>
        <color theme="1"/>
        <rFont val="Calibri"/>
        <family val="2"/>
        <scheme val="minor"/>
      </rPr>
      <t>Make (L)</t>
    </r>
  </si>
  <si>
    <r>
      <t xml:space="preserve">New
</t>
    </r>
    <r>
      <rPr>
        <b/>
        <u/>
        <sz val="11"/>
        <color theme="1"/>
        <rFont val="Calibri"/>
        <family val="2"/>
        <scheme val="minor"/>
      </rPr>
      <t>Volume (L)</t>
    </r>
  </si>
  <si>
    <t>New Make (L)</t>
  </si>
  <si>
    <t>Total Volume (L)</t>
  </si>
  <si>
    <t>Total Run (Heads/Hearts)</t>
  </si>
  <si>
    <t>CP-270-1</t>
  </si>
  <si>
    <t>Whisky helmet, 1 *long + 3 short tubes</t>
  </si>
  <si>
    <t>COMBINED</t>
  </si>
  <si>
    <t>2 * 2200W @ 440</t>
  </si>
  <si>
    <t>#5</t>
  </si>
  <si>
    <t>#6</t>
  </si>
  <si>
    <t>#7</t>
  </si>
  <si>
    <r>
      <t xml:space="preserve">Dilution 
</t>
    </r>
    <r>
      <rPr>
        <b/>
        <u/>
        <sz val="11"/>
        <color theme="9" tint="-0.249977111117893"/>
        <rFont val="Calibri"/>
        <family val="2"/>
        <scheme val="minor"/>
      </rPr>
      <t>Calculation</t>
    </r>
  </si>
  <si>
    <t>FEINTS-GIN-000x</t>
  </si>
  <si>
    <t>GIN-NS-000x</t>
  </si>
  <si>
    <t>x litres required overall</t>
  </si>
  <si>
    <t>Boiler On</t>
  </si>
  <si>
    <t>VC-330-0x</t>
  </si>
  <si>
    <t>IBC-0x</t>
  </si>
  <si>
    <t>CP270</t>
  </si>
  <si>
    <t>SPIRIT-GIN-OAKS-01</t>
  </si>
  <si>
    <t>GIN-OAKS-01</t>
  </si>
  <si>
    <t>SPIRIT-GIN-OAKS-0x</t>
  </si>
  <si>
    <t>Oaks Kitchen Gin</t>
  </si>
  <si>
    <t>Sawtooth Coriander</t>
  </si>
  <si>
    <t>Leaves - Steeped</t>
  </si>
  <si>
    <t>Liquorise Root</t>
  </si>
  <si>
    <t>Holy Basil</t>
  </si>
  <si>
    <t>Leaves &amp; Flowers 50:50</t>
  </si>
  <si>
    <t>Thai Sweet Basil</t>
  </si>
  <si>
    <t>Leaves only</t>
  </si>
  <si>
    <t>Pandanas</t>
  </si>
  <si>
    <t>(Thai Vanilla)</t>
  </si>
  <si>
    <t>Kaffir Leaves</t>
  </si>
  <si>
    <t>Thai Marigolds</t>
  </si>
  <si>
    <t>Kaffir Fruit Rind</t>
  </si>
  <si>
    <t>Galangal</t>
  </si>
  <si>
    <t>Smashed</t>
  </si>
  <si>
    <t>Lemon Grass</t>
  </si>
  <si>
    <t>Bashed</t>
  </si>
  <si>
    <t>Pandan</t>
  </si>
  <si>
    <t xml:space="preserve">Leaves </t>
  </si>
  <si>
    <t>5750W * 2, 1 x 2200</t>
  </si>
  <si>
    <t>14 hours (Juniper)</t>
  </si>
  <si>
    <t>Whisky helmet, 4 x tee section, 3 plates</t>
  </si>
  <si>
    <t>Run element 1 x 5750!!!!!!!</t>
  </si>
  <si>
    <t>cond hot due to element selection</t>
  </si>
  <si>
    <t>11.4 KG</t>
  </si>
  <si>
    <t>23.5 KG</t>
  </si>
  <si>
    <t>used 2 x 5750 &amp; 1 x 2200</t>
  </si>
  <si>
    <t>32.6 KG</t>
  </si>
  <si>
    <t>47.6 KG</t>
  </si>
  <si>
    <t>69 KG</t>
  </si>
  <si>
    <t>VC-100-1</t>
  </si>
  <si>
    <t>280 APPROX</t>
  </si>
  <si>
    <t>7:15AM</t>
  </si>
  <si>
    <t>ROBERTA</t>
  </si>
  <si>
    <t>SPIRIT-GIN-OAKS-02</t>
  </si>
  <si>
    <t xml:space="preserve"> </t>
  </si>
  <si>
    <t>Roberta</t>
  </si>
  <si>
    <t>280 + 80 from 01</t>
  </si>
  <si>
    <t>360 approx</t>
  </si>
  <si>
    <t>1 * 2400W, 1 * 2200 and 1 * 2400 on 920 V</t>
  </si>
  <si>
    <t>Whisky helmet, 4 open tubes</t>
  </si>
  <si>
    <t>SPIRIT-GIN-OAKS-03</t>
  </si>
  <si>
    <t>CP-270</t>
  </si>
  <si>
    <t xml:space="preserve"> Waste</t>
  </si>
  <si>
    <t>VC-100</t>
  </si>
  <si>
    <t>Oaks Kitchen Dry Season Gin</t>
  </si>
  <si>
    <t>Oaks-Dry-01</t>
  </si>
  <si>
    <t>9am</t>
  </si>
  <si>
    <t xml:space="preserve"> Coriander</t>
  </si>
  <si>
    <t>Seed</t>
  </si>
  <si>
    <t>5750 x 1 2200 x1 2400 x1</t>
  </si>
  <si>
    <t>nil</t>
  </si>
  <si>
    <t>SPIRIT-GIN-OAKS-004</t>
  </si>
  <si>
    <t>3 x 5750</t>
  </si>
  <si>
    <t xml:space="preserve">3 x 5750 run </t>
  </si>
  <si>
    <t xml:space="preserve">5750 x 3 run </t>
  </si>
  <si>
    <t>14 hours (Juniper?</t>
  </si>
  <si>
    <t>VC-400</t>
  </si>
  <si>
    <t>1:25PM</t>
  </si>
  <si>
    <t>KG BELOW</t>
  </si>
  <si>
    <t>total 209.2kg  = 242.81 lt</t>
  </si>
  <si>
    <t>GIN-oaks-ws-000x</t>
  </si>
  <si>
    <t>SPIRIT-GIN-OAKS-DRY</t>
  </si>
  <si>
    <t>Oaks Kitchen DRY SEASON GIN</t>
  </si>
  <si>
    <t xml:space="preserve"> Coriander seed</t>
  </si>
  <si>
    <t>steeped</t>
  </si>
  <si>
    <t>mandarin skin</t>
  </si>
  <si>
    <t>720g</t>
  </si>
  <si>
    <t>mandarin fruit</t>
  </si>
  <si>
    <t>1 kg</t>
  </si>
  <si>
    <t xml:space="preserve">rosella flower </t>
  </si>
  <si>
    <t>1kg</t>
  </si>
  <si>
    <t xml:space="preserve">turmeric </t>
  </si>
  <si>
    <t>300g</t>
  </si>
  <si>
    <t xml:space="preserve">6 x 5750 run </t>
  </si>
  <si>
    <t>2 x 5750</t>
  </si>
  <si>
    <t>.</t>
  </si>
  <si>
    <t>ok</t>
  </si>
  <si>
    <t>SPIRIT-GIN-DRY-2024</t>
  </si>
  <si>
    <t>Oaks Kitchen Gin Dry Season</t>
  </si>
  <si>
    <t>Carrie</t>
  </si>
  <si>
    <t>berries</t>
  </si>
  <si>
    <t>Coriander seed</t>
  </si>
  <si>
    <t>Lemongrass</t>
  </si>
  <si>
    <t>Mandarin</t>
  </si>
  <si>
    <t>Mandarin skin</t>
  </si>
  <si>
    <t>Turmeric</t>
  </si>
  <si>
    <t>Rosella flower</t>
  </si>
  <si>
    <t>Holy basil</t>
  </si>
  <si>
    <t>Thai Brasil</t>
  </si>
  <si>
    <t>Kaffir lime leaf</t>
  </si>
  <si>
    <t>Nothing was added the day before</t>
  </si>
  <si>
    <t>SPIRIT-GIN-OAKS-005-WS</t>
  </si>
  <si>
    <t>Wet season</t>
  </si>
  <si>
    <t>16000 W * 2</t>
  </si>
  <si>
    <t>14 hours (Juniper and remaining botanicals</t>
  </si>
  <si>
    <t>35A</t>
  </si>
  <si>
    <t>33A</t>
  </si>
  <si>
    <t>30A</t>
  </si>
  <si>
    <t>sug. Add 218 LH2O</t>
  </si>
  <si>
    <t>Late tails</t>
  </si>
  <si>
    <t>226 L @ 81%</t>
  </si>
  <si>
    <t>Keep aside, when reaching enough volume, distill again to make vodka</t>
  </si>
  <si>
    <t>FEINTS-GIN-MIX</t>
  </si>
  <si>
    <t>IBC-01</t>
  </si>
  <si>
    <t>%</t>
  </si>
  <si>
    <t>GIN-NS-0018</t>
  </si>
  <si>
    <t>sug. To add 205 L H2O</t>
  </si>
  <si>
    <t>LATE TAILS</t>
  </si>
  <si>
    <t>Keep for future distillations</t>
  </si>
  <si>
    <t>SPIRIT-GIN-OAKS-005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</si>
</sst>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"/>
    <numFmt numFmtId="166" formatCode="d/mm/yyyy;@"/>
    <numFmt numFmtId="167" formatCode="0.0"/>
    <numFmt numFmtId="168" formatCode="[$-409]h:mm:ss\ AM/PM;@"/>
    <numFmt numFmtId="169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u/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7" fontId="0" fillId="2" borderId="5" xfId="0" applyNumberFormat="1" applyFill="1" applyBorder="1" applyAlignment="1">
      <alignment horizontal="center"/>
    </xf>
    <xf numFmtId="0" fontId="0" fillId="0" borderId="8" xfId="0" applyBorder="1"/>
    <xf numFmtId="0" fontId="0" fillId="2" borderId="9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7" fontId="4" fillId="2" borderId="2" xfId="0" applyNumberFormat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167" fontId="5" fillId="0" borderId="8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" fontId="6" fillId="3" borderId="5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3" fillId="2" borderId="5" xfId="1" applyNumberFormat="1" applyFont="1" applyFill="1" applyBorder="1" applyAlignment="1">
      <alignment horizontal="center"/>
    </xf>
    <xf numFmtId="167" fontId="0" fillId="3" borderId="5" xfId="0" applyNumberFormat="1" applyFill="1" applyBorder="1" applyAlignment="1">
      <alignment horizontal="center"/>
    </xf>
    <xf numFmtId="164" fontId="1" fillId="3" borderId="5" xfId="1" applyNumberFormat="1" applyFont="1" applyFill="1" applyBorder="1" applyAlignment="1">
      <alignment horizontal="center" wrapText="1"/>
    </xf>
    <xf numFmtId="167" fontId="3" fillId="3" borderId="5" xfId="0" applyNumberFormat="1" applyFont="1" applyFill="1" applyBorder="1" applyAlignment="1">
      <alignment horizontal="center"/>
    </xf>
    <xf numFmtId="164" fontId="3" fillId="3" borderId="5" xfId="1" applyNumberFormat="1" applyFont="1" applyFill="1" applyBorder="1" applyAlignment="1">
      <alignment horizontal="center" wrapText="1"/>
    </xf>
    <xf numFmtId="167" fontId="3" fillId="3" borderId="6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168" fontId="6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66" fontId="8" fillId="2" borderId="4" xfId="0" applyNumberFormat="1" applyFont="1" applyFill="1" applyBorder="1" applyAlignment="1">
      <alignment horizontal="center"/>
    </xf>
    <xf numFmtId="167" fontId="8" fillId="3" borderId="5" xfId="0" applyNumberFormat="1" applyFont="1" applyFill="1" applyBorder="1" applyAlignment="1">
      <alignment horizontal="center"/>
    </xf>
    <xf numFmtId="164" fontId="8" fillId="2" borderId="5" xfId="1" applyNumberFormat="1" applyFont="1" applyFill="1" applyBorder="1" applyAlignment="1">
      <alignment horizontal="center"/>
    </xf>
    <xf numFmtId="167" fontId="8" fillId="3" borderId="6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169" fontId="0" fillId="0" borderId="0" xfId="0" applyNumberFormat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67" fontId="8" fillId="0" borderId="5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69" fontId="2" fillId="2" borderId="3" xfId="0" applyNumberFormat="1" applyFont="1" applyFill="1" applyBorder="1" applyAlignment="1">
      <alignment horizontal="center" wrapText="1"/>
    </xf>
    <xf numFmtId="166" fontId="8" fillId="0" borderId="7" xfId="0" applyNumberFormat="1" applyFont="1" applyBorder="1" applyAlignment="1">
      <alignment horizontal="center"/>
    </xf>
    <xf numFmtId="167" fontId="8" fillId="0" borderId="8" xfId="0" applyNumberFormat="1" applyFont="1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67" fontId="8" fillId="2" borderId="5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164" fontId="8" fillId="0" borderId="8" xfId="0" applyNumberFormat="1" applyFont="1" applyBorder="1" applyAlignment="1">
      <alignment horizontal="center"/>
    </xf>
    <xf numFmtId="167" fontId="8" fillId="3" borderId="8" xfId="0" applyNumberFormat="1" applyFont="1" applyFill="1" applyBorder="1" applyAlignment="1">
      <alignment horizontal="center"/>
    </xf>
    <xf numFmtId="167" fontId="0" fillId="3" borderId="6" xfId="0" applyNumberFormat="1" applyFill="1" applyBorder="1" applyAlignment="1">
      <alignment horizontal="center"/>
    </xf>
    <xf numFmtId="167" fontId="0" fillId="3" borderId="9" xfId="0" applyNumberFormat="1" applyFill="1" applyBorder="1" applyAlignment="1">
      <alignment horizontal="center"/>
    </xf>
    <xf numFmtId="166" fontId="4" fillId="0" borderId="14" xfId="0" applyNumberFormat="1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167" fontId="6" fillId="3" borderId="5" xfId="0" applyNumberFormat="1" applyFont="1" applyFill="1" applyBorder="1" applyAlignment="1">
      <alignment horizontal="center"/>
    </xf>
    <xf numFmtId="167" fontId="3" fillId="2" borderId="5" xfId="0" applyNumberFormat="1" applyFont="1" applyFill="1" applyBorder="1" applyAlignment="1">
      <alignment horizontal="center"/>
    </xf>
    <xf numFmtId="167" fontId="1" fillId="3" borderId="5" xfId="1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167" fontId="5" fillId="3" borderId="8" xfId="1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68" fontId="5" fillId="0" borderId="8" xfId="0" applyNumberFormat="1" applyFont="1" applyBorder="1" applyAlignment="1">
      <alignment horizontal="center"/>
    </xf>
    <xf numFmtId="164" fontId="0" fillId="3" borderId="5" xfId="1" applyNumberFormat="1" applyFont="1" applyFill="1" applyBorder="1" applyAlignment="1">
      <alignment horizontal="center" wrapText="1"/>
    </xf>
    <xf numFmtId="164" fontId="0" fillId="2" borderId="5" xfId="1" applyNumberFormat="1" applyFont="1" applyFill="1" applyBorder="1" applyAlignment="1">
      <alignment horizontal="center"/>
    </xf>
    <xf numFmtId="167" fontId="0" fillId="3" borderId="6" xfId="0" applyNumberFormat="1" applyFill="1" applyBorder="1" applyAlignment="1">
      <alignment horizontal="center" wrapText="1"/>
    </xf>
    <xf numFmtId="164" fontId="5" fillId="0" borderId="8" xfId="1" applyNumberFormat="1" applyFont="1" applyBorder="1" applyAlignment="1">
      <alignment horizontal="center"/>
    </xf>
    <xf numFmtId="167" fontId="5" fillId="0" borderId="9" xfId="0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7" fontId="0" fillId="3" borderId="5" xfId="1" applyNumberFormat="1" applyFont="1" applyFill="1" applyBorder="1" applyAlignment="1">
      <alignment horizontal="center" wrapText="1"/>
    </xf>
    <xf numFmtId="167" fontId="5" fillId="0" borderId="8" xfId="1" applyNumberFormat="1" applyFont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6" fontId="2" fillId="0" borderId="18" xfId="0" applyNumberFormat="1" applyFont="1" applyBorder="1" applyAlignment="1">
      <alignment horizontal="center"/>
    </xf>
    <xf numFmtId="18" fontId="0" fillId="2" borderId="19" xfId="0" applyNumberFormat="1" applyFill="1" applyBorder="1" applyAlignment="1">
      <alignment horizontal="center"/>
    </xf>
    <xf numFmtId="168" fontId="6" fillId="6" borderId="4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167" fontId="6" fillId="6" borderId="5" xfId="0" applyNumberFormat="1" applyFont="1" applyFill="1" applyBorder="1" applyAlignment="1">
      <alignment horizontal="center"/>
    </xf>
    <xf numFmtId="164" fontId="6" fillId="6" borderId="5" xfId="0" applyNumberFormat="1" applyFont="1" applyFill="1" applyBorder="1" applyAlignment="1">
      <alignment horizontal="center"/>
    </xf>
    <xf numFmtId="167" fontId="2" fillId="2" borderId="2" xfId="0" applyNumberFormat="1" applyFont="1" applyFill="1" applyBorder="1" applyAlignment="1">
      <alignment horizontal="center" wrapText="1"/>
    </xf>
    <xf numFmtId="164" fontId="0" fillId="3" borderId="5" xfId="1" applyNumberFormat="1" applyFont="1" applyFill="1" applyBorder="1" applyAlignment="1">
      <alignment horizontal="center"/>
    </xf>
    <xf numFmtId="1" fontId="6" fillId="6" borderId="5" xfId="0" applyNumberFormat="1" applyFont="1" applyFill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167" fontId="0" fillId="7" borderId="6" xfId="0" applyNumberForma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11" fillId="0" borderId="0" xfId="0" applyFont="1" applyAlignment="1">
      <alignment horizontal="left"/>
    </xf>
    <xf numFmtId="166" fontId="8" fillId="0" borderId="18" xfId="0" applyNumberFormat="1" applyFont="1" applyBorder="1" applyAlignment="1">
      <alignment horizontal="center"/>
    </xf>
    <xf numFmtId="164" fontId="8" fillId="0" borderId="20" xfId="0" applyNumberFormat="1" applyFont="1" applyBorder="1" applyAlignment="1">
      <alignment horizontal="center"/>
    </xf>
    <xf numFmtId="1" fontId="8" fillId="0" borderId="20" xfId="0" applyNumberFormat="1" applyFont="1" applyBorder="1" applyAlignment="1">
      <alignment horizontal="center"/>
    </xf>
    <xf numFmtId="167" fontId="8" fillId="3" borderId="20" xfId="0" applyNumberFormat="1" applyFont="1" applyFill="1" applyBorder="1" applyAlignment="1">
      <alignment horizontal="center"/>
    </xf>
    <xf numFmtId="167" fontId="8" fillId="0" borderId="20" xfId="0" applyNumberFormat="1" applyFont="1" applyBorder="1" applyAlignment="1">
      <alignment horizontal="center"/>
    </xf>
    <xf numFmtId="0" fontId="8" fillId="0" borderId="19" xfId="0" applyFont="1" applyBorder="1" applyAlignment="1">
      <alignment horizontal="left"/>
    </xf>
    <xf numFmtId="168" fontId="6" fillId="6" borderId="5" xfId="0" applyNumberFormat="1" applyFont="1" applyFill="1" applyBorder="1" applyAlignment="1">
      <alignment horizontal="center"/>
    </xf>
    <xf numFmtId="167" fontId="7" fillId="6" borderId="5" xfId="0" applyNumberFormat="1" applyFont="1" applyFill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0" xfId="0" applyFont="1"/>
    <xf numFmtId="168" fontId="5" fillId="0" borderId="8" xfId="0" applyNumberFormat="1" applyFont="1" applyBorder="1" applyAlignment="1">
      <alignment horizontal="right"/>
    </xf>
    <xf numFmtId="167" fontId="0" fillId="7" borderId="5" xfId="0" applyNumberForma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9" fontId="0" fillId="0" borderId="0" xfId="1" applyFont="1" applyAlignment="1">
      <alignment horizontal="center"/>
    </xf>
    <xf numFmtId="1" fontId="0" fillId="8" borderId="0" xfId="0" applyNumberFormat="1" applyFill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166" fontId="4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1718-5EE8-41FE-B781-4F188F3CD3E8}">
  <sheetPr>
    <pageSetUpPr fitToPage="1"/>
  </sheetPr>
  <dimension ref="B1:P2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" sqref="H3"/>
    </sheetView>
  </sheetViews>
  <sheetFormatPr defaultColWidth="8.6640625" defaultRowHeight="14.4" x14ac:dyDescent="0.3"/>
  <cols>
    <col min="1" max="1" width="0.44140625" customWidth="1"/>
    <col min="2" max="2" width="15.33203125" style="3" customWidth="1"/>
    <col min="3" max="3" width="19.6640625" style="1" customWidth="1"/>
    <col min="4" max="4" width="24.44140625" style="1" customWidth="1"/>
    <col min="5" max="5" width="17.33203125" style="1" customWidth="1"/>
    <col min="6" max="6" width="10" style="1" customWidth="1"/>
    <col min="7" max="7" width="11.44140625" style="1" customWidth="1"/>
    <col min="8" max="8" width="12" style="1" customWidth="1"/>
    <col min="9" max="9" width="20" style="1" customWidth="1"/>
    <col min="10" max="10" width="10" style="1" customWidth="1"/>
    <col min="11" max="11" width="11.44140625" style="1" customWidth="1"/>
    <col min="12" max="12" width="12" style="1" customWidth="1"/>
    <col min="13" max="13" width="10" style="1" customWidth="1"/>
    <col min="14" max="14" width="11.44140625" style="1" customWidth="1"/>
    <col min="15" max="15" width="53.44140625" style="59" customWidth="1"/>
    <col min="16" max="16" width="10.44140625" style="1" customWidth="1"/>
    <col min="17" max="21" width="10.44140625" customWidth="1"/>
  </cols>
  <sheetData>
    <row r="1" spans="2:15" ht="1.5" customHeight="1" thickBot="1" x14ac:dyDescent="0.35">
      <c r="H1" s="1" t="s">
        <v>12</v>
      </c>
      <c r="L1" s="1" t="s">
        <v>12</v>
      </c>
    </row>
    <row r="2" spans="2:15" s="1" customFormat="1" ht="43.2" x14ac:dyDescent="0.3">
      <c r="B2" s="70" t="s">
        <v>35</v>
      </c>
      <c r="C2" s="22" t="s">
        <v>38</v>
      </c>
      <c r="D2" s="58" t="s">
        <v>7</v>
      </c>
      <c r="E2" s="58" t="s">
        <v>36</v>
      </c>
      <c r="F2" s="33" t="s">
        <v>37</v>
      </c>
      <c r="G2" s="33" t="s">
        <v>0</v>
      </c>
      <c r="H2" s="33" t="s">
        <v>12</v>
      </c>
      <c r="I2" s="33" t="s">
        <v>40</v>
      </c>
      <c r="J2" s="33" t="s">
        <v>82</v>
      </c>
      <c r="K2" s="33" t="s">
        <v>0</v>
      </c>
      <c r="L2" s="33" t="s">
        <v>12</v>
      </c>
      <c r="M2" s="33" t="s">
        <v>83</v>
      </c>
      <c r="N2" s="33" t="s">
        <v>0</v>
      </c>
      <c r="O2" s="64" t="s">
        <v>34</v>
      </c>
    </row>
    <row r="3" spans="2:15" s="1" customFormat="1" ht="20.25" customHeight="1" x14ac:dyDescent="0.3">
      <c r="B3" s="60">
        <v>44643</v>
      </c>
      <c r="C3" s="62" t="s">
        <v>100</v>
      </c>
      <c r="D3" s="62" t="s">
        <v>61</v>
      </c>
      <c r="E3" s="62" t="s">
        <v>99</v>
      </c>
      <c r="F3" s="63">
        <v>250</v>
      </c>
      <c r="G3" s="62">
        <v>0.40300000000000002</v>
      </c>
      <c r="H3" s="55">
        <f>F3*G3</f>
        <v>100.75</v>
      </c>
      <c r="I3" s="62" t="s">
        <v>101</v>
      </c>
      <c r="J3" s="61"/>
      <c r="K3" s="62"/>
      <c r="L3" s="55">
        <f>J3*K3</f>
        <v>0</v>
      </c>
      <c r="M3" s="61"/>
      <c r="N3" s="62"/>
      <c r="O3" s="71"/>
    </row>
    <row r="4" spans="2:15" s="1" customFormat="1" ht="20.25" customHeight="1" x14ac:dyDescent="0.3">
      <c r="B4" s="117"/>
      <c r="C4" s="118"/>
      <c r="D4" s="118"/>
      <c r="E4" s="118"/>
      <c r="F4" s="119"/>
      <c r="G4" s="118"/>
      <c r="H4" s="120"/>
      <c r="I4" s="118"/>
      <c r="J4" s="121"/>
      <c r="K4" s="118"/>
      <c r="L4" s="120"/>
      <c r="M4" s="121"/>
      <c r="N4" s="118"/>
      <c r="O4" s="122"/>
    </row>
    <row r="5" spans="2:15" s="1" customFormat="1" ht="20.25" customHeight="1" x14ac:dyDescent="0.3">
      <c r="B5" s="117"/>
      <c r="C5" s="118"/>
      <c r="D5" s="118"/>
      <c r="E5" s="118"/>
      <c r="F5" s="119"/>
      <c r="G5" s="118"/>
      <c r="H5" s="120"/>
      <c r="I5" s="118"/>
      <c r="J5" s="121"/>
      <c r="K5" s="118"/>
      <c r="L5" s="120"/>
      <c r="M5" s="121"/>
      <c r="N5" s="118"/>
      <c r="O5" s="122"/>
    </row>
    <row r="6" spans="2:15" s="1" customFormat="1" ht="20.25" customHeight="1" x14ac:dyDescent="0.3">
      <c r="B6" s="117"/>
      <c r="C6" s="118"/>
      <c r="D6" s="118"/>
      <c r="E6" s="118"/>
      <c r="F6" s="119"/>
      <c r="G6" s="118"/>
      <c r="H6" s="120"/>
      <c r="I6" s="118"/>
      <c r="J6" s="121"/>
      <c r="K6" s="118"/>
      <c r="L6" s="120"/>
      <c r="M6" s="121"/>
      <c r="N6" s="118"/>
      <c r="O6" s="122"/>
    </row>
    <row r="7" spans="2:15" s="1" customFormat="1" ht="20.25" customHeight="1" x14ac:dyDescent="0.3">
      <c r="B7" s="117"/>
      <c r="C7" s="118"/>
      <c r="D7" s="118"/>
      <c r="E7" s="118"/>
      <c r="F7" s="119"/>
      <c r="G7" s="118"/>
      <c r="H7" s="120"/>
      <c r="I7" s="118"/>
      <c r="J7" s="121"/>
      <c r="K7" s="118"/>
      <c r="L7" s="120"/>
      <c r="M7" s="121"/>
      <c r="N7" s="118"/>
      <c r="O7" s="122"/>
    </row>
    <row r="8" spans="2:15" s="1" customFormat="1" ht="20.25" customHeight="1" x14ac:dyDescent="0.3">
      <c r="B8" s="117"/>
      <c r="C8" s="118"/>
      <c r="D8" s="118"/>
      <c r="E8" s="118"/>
      <c r="F8" s="119"/>
      <c r="G8" s="118"/>
      <c r="H8" s="120"/>
      <c r="I8" s="118"/>
      <c r="J8" s="121"/>
      <c r="K8" s="118"/>
      <c r="L8" s="120"/>
      <c r="M8" s="121"/>
      <c r="N8" s="118"/>
      <c r="O8" s="122"/>
    </row>
    <row r="9" spans="2:15" s="1" customFormat="1" ht="20.25" customHeight="1" x14ac:dyDescent="0.3">
      <c r="B9" s="117"/>
      <c r="C9" s="118"/>
      <c r="D9" s="118"/>
      <c r="E9" s="118"/>
      <c r="F9" s="119"/>
      <c r="G9" s="118"/>
      <c r="H9" s="120"/>
      <c r="I9" s="118"/>
      <c r="J9" s="121"/>
      <c r="K9" s="118"/>
      <c r="L9" s="120"/>
      <c r="M9" s="121"/>
      <c r="N9" s="118"/>
      <c r="O9" s="122"/>
    </row>
    <row r="10" spans="2:15" s="1" customFormat="1" ht="20.25" customHeight="1" x14ac:dyDescent="0.3">
      <c r="B10" s="117"/>
      <c r="C10" s="118"/>
      <c r="D10" s="118"/>
      <c r="E10" s="118"/>
      <c r="F10" s="119"/>
      <c r="G10" s="118"/>
      <c r="H10" s="120"/>
      <c r="I10" s="118"/>
      <c r="J10" s="121"/>
      <c r="K10" s="118"/>
      <c r="L10" s="120"/>
      <c r="M10" s="121"/>
      <c r="N10" s="118"/>
      <c r="O10" s="122"/>
    </row>
    <row r="11" spans="2:15" s="1" customFormat="1" ht="20.25" customHeight="1" x14ac:dyDescent="0.3">
      <c r="B11" s="117"/>
      <c r="C11" s="118"/>
      <c r="D11" s="118"/>
      <c r="E11" s="118"/>
      <c r="F11" s="119"/>
      <c r="G11" s="118"/>
      <c r="H11" s="120"/>
      <c r="I11" s="118"/>
      <c r="J11" s="121"/>
      <c r="K11" s="118"/>
      <c r="L11" s="120"/>
      <c r="M11" s="121"/>
      <c r="N11" s="118"/>
      <c r="O11" s="122"/>
    </row>
    <row r="12" spans="2:15" s="1" customFormat="1" ht="20.25" customHeight="1" x14ac:dyDescent="0.3">
      <c r="B12" s="117"/>
      <c r="C12" s="118"/>
      <c r="D12" s="118"/>
      <c r="E12" s="118"/>
      <c r="F12" s="119"/>
      <c r="G12" s="118"/>
      <c r="H12" s="120"/>
      <c r="I12" s="118"/>
      <c r="J12" s="121"/>
      <c r="K12" s="118"/>
      <c r="L12" s="120"/>
      <c r="M12" s="121"/>
      <c r="N12" s="118"/>
      <c r="O12" s="122"/>
    </row>
    <row r="13" spans="2:15" s="1" customFormat="1" ht="20.25" customHeight="1" x14ac:dyDescent="0.3">
      <c r="B13" s="117"/>
      <c r="C13" s="118"/>
      <c r="D13" s="118"/>
      <c r="E13" s="118"/>
      <c r="F13" s="119"/>
      <c r="G13" s="118"/>
      <c r="H13" s="120"/>
      <c r="I13" s="118"/>
      <c r="J13" s="121"/>
      <c r="K13" s="118"/>
      <c r="L13" s="120"/>
      <c r="M13" s="121"/>
      <c r="N13" s="118"/>
      <c r="O13" s="122"/>
    </row>
    <row r="14" spans="2:15" s="1" customFormat="1" ht="20.25" customHeight="1" x14ac:dyDescent="0.3">
      <c r="B14" s="117"/>
      <c r="C14" s="118"/>
      <c r="D14" s="118"/>
      <c r="E14" s="118"/>
      <c r="F14" s="119"/>
      <c r="G14" s="118"/>
      <c r="H14" s="120"/>
      <c r="I14" s="118"/>
      <c r="J14" s="121"/>
      <c r="K14" s="118"/>
      <c r="L14" s="120"/>
      <c r="M14" s="121"/>
      <c r="N14" s="118"/>
      <c r="O14" s="122"/>
    </row>
    <row r="15" spans="2:15" s="1" customFormat="1" ht="20.25" customHeight="1" x14ac:dyDescent="0.3">
      <c r="B15" s="117"/>
      <c r="C15" s="118"/>
      <c r="D15" s="118"/>
      <c r="E15" s="118"/>
      <c r="F15" s="119"/>
      <c r="G15" s="118"/>
      <c r="H15" s="120"/>
      <c r="I15" s="118"/>
      <c r="J15" s="121"/>
      <c r="K15" s="118"/>
      <c r="L15" s="120"/>
      <c r="M15" s="121"/>
      <c r="N15" s="118"/>
      <c r="O15" s="122"/>
    </row>
    <row r="16" spans="2:15" s="1" customFormat="1" ht="20.25" customHeight="1" x14ac:dyDescent="0.3">
      <c r="B16" s="117"/>
      <c r="C16" s="118"/>
      <c r="D16" s="118"/>
      <c r="E16" s="118"/>
      <c r="F16" s="119"/>
      <c r="G16" s="118"/>
      <c r="H16" s="120"/>
      <c r="I16" s="118"/>
      <c r="J16" s="121"/>
      <c r="K16" s="118"/>
      <c r="L16" s="120"/>
      <c r="M16" s="121"/>
      <c r="N16" s="118"/>
      <c r="O16" s="122"/>
    </row>
    <row r="17" spans="2:15" s="1" customFormat="1" ht="20.25" customHeight="1" x14ac:dyDescent="0.3">
      <c r="B17" s="117"/>
      <c r="C17" s="118"/>
      <c r="D17" s="118"/>
      <c r="E17" s="118"/>
      <c r="F17" s="119"/>
      <c r="G17" s="118"/>
      <c r="H17" s="120"/>
      <c r="I17" s="118"/>
      <c r="J17" s="121"/>
      <c r="K17" s="118"/>
      <c r="L17" s="120"/>
      <c r="M17" s="121"/>
      <c r="N17" s="118"/>
      <c r="O17" s="122"/>
    </row>
    <row r="18" spans="2:15" s="1" customFormat="1" ht="20.25" customHeight="1" x14ac:dyDescent="0.3">
      <c r="B18" s="117"/>
      <c r="C18" s="118"/>
      <c r="D18" s="118"/>
      <c r="E18" s="118"/>
      <c r="F18" s="119"/>
      <c r="G18" s="118"/>
      <c r="H18" s="120"/>
      <c r="I18" s="118"/>
      <c r="J18" s="121"/>
      <c r="K18" s="118"/>
      <c r="L18" s="120"/>
      <c r="M18" s="121"/>
      <c r="N18" s="118"/>
      <c r="O18" s="122"/>
    </row>
    <row r="19" spans="2:15" s="1" customFormat="1" ht="20.25" customHeight="1" x14ac:dyDescent="0.3">
      <c r="B19" s="117"/>
      <c r="C19" s="118"/>
      <c r="D19" s="118"/>
      <c r="E19" s="118"/>
      <c r="F19" s="119"/>
      <c r="G19" s="118"/>
      <c r="H19" s="120"/>
      <c r="I19" s="118"/>
      <c r="J19" s="121"/>
      <c r="K19" s="118"/>
      <c r="L19" s="120"/>
      <c r="M19" s="121"/>
      <c r="N19" s="118"/>
      <c r="O19" s="122"/>
    </row>
    <row r="20" spans="2:15" s="1" customFormat="1" ht="20.25" customHeight="1" x14ac:dyDescent="0.3">
      <c r="B20" s="117"/>
      <c r="C20" s="118"/>
      <c r="D20" s="118"/>
      <c r="E20" s="118"/>
      <c r="F20" s="119"/>
      <c r="G20" s="118"/>
      <c r="H20" s="120"/>
      <c r="I20" s="118"/>
      <c r="J20" s="121"/>
      <c r="K20" s="118"/>
      <c r="L20" s="120"/>
      <c r="M20" s="121"/>
      <c r="N20" s="118"/>
      <c r="O20" s="122"/>
    </row>
    <row r="21" spans="2:15" s="1" customFormat="1" ht="20.25" customHeight="1" x14ac:dyDescent="0.3">
      <c r="B21" s="117"/>
      <c r="C21" s="118"/>
      <c r="D21" s="118"/>
      <c r="E21" s="118"/>
      <c r="F21" s="119"/>
      <c r="G21" s="118"/>
      <c r="H21" s="120"/>
      <c r="I21" s="118"/>
      <c r="J21" s="121"/>
      <c r="K21" s="118"/>
      <c r="L21" s="120"/>
      <c r="M21" s="121"/>
      <c r="N21" s="118"/>
      <c r="O21" s="122"/>
    </row>
    <row r="22" spans="2:15" s="1" customFormat="1" ht="20.25" customHeight="1" x14ac:dyDescent="0.3">
      <c r="B22" s="117"/>
      <c r="C22" s="118"/>
      <c r="D22" s="118"/>
      <c r="E22" s="118"/>
      <c r="F22" s="119"/>
      <c r="G22" s="118"/>
      <c r="H22" s="120"/>
      <c r="I22" s="118"/>
      <c r="J22" s="121"/>
      <c r="K22" s="118"/>
      <c r="L22" s="120"/>
      <c r="M22" s="121"/>
      <c r="N22" s="118"/>
      <c r="O22" s="122"/>
    </row>
    <row r="23" spans="2:15" s="1" customFormat="1" ht="20.25" customHeight="1" x14ac:dyDescent="0.3">
      <c r="B23" s="117"/>
      <c r="C23" s="118"/>
      <c r="D23" s="118"/>
      <c r="E23" s="118"/>
      <c r="F23" s="119"/>
      <c r="G23" s="118"/>
      <c r="H23" s="120"/>
      <c r="I23" s="118"/>
      <c r="J23" s="121"/>
      <c r="K23" s="118"/>
      <c r="L23" s="120"/>
      <c r="M23" s="121"/>
      <c r="N23" s="118"/>
      <c r="O23" s="122"/>
    </row>
    <row r="24" spans="2:15" s="1" customFormat="1" ht="20.25" customHeight="1" x14ac:dyDescent="0.3">
      <c r="B24" s="117"/>
      <c r="C24" s="118"/>
      <c r="D24" s="118"/>
      <c r="E24" s="118"/>
      <c r="F24" s="119"/>
      <c r="G24" s="118"/>
      <c r="H24" s="120"/>
      <c r="I24" s="118"/>
      <c r="J24" s="121"/>
      <c r="K24" s="118"/>
      <c r="L24" s="120"/>
      <c r="M24" s="121"/>
      <c r="N24" s="118"/>
      <c r="O24" s="122"/>
    </row>
    <row r="25" spans="2:15" s="1" customFormat="1" ht="20.25" customHeight="1" x14ac:dyDescent="0.3">
      <c r="B25" s="117"/>
      <c r="C25" s="118"/>
      <c r="D25" s="118"/>
      <c r="E25" s="118"/>
      <c r="F25" s="119"/>
      <c r="G25" s="118"/>
      <c r="H25" s="120"/>
      <c r="I25" s="118"/>
      <c r="J25" s="121"/>
      <c r="K25" s="118"/>
      <c r="L25" s="120"/>
      <c r="M25" s="121"/>
      <c r="N25" s="118"/>
      <c r="O25" s="122"/>
    </row>
    <row r="26" spans="2:15" s="1" customFormat="1" ht="20.25" customHeight="1" thickBot="1" x14ac:dyDescent="0.35">
      <c r="B26" s="65"/>
      <c r="C26" s="66"/>
      <c r="D26" s="67"/>
      <c r="E26" s="67"/>
      <c r="F26" s="68"/>
      <c r="G26" s="73"/>
      <c r="H26" s="74"/>
      <c r="I26" s="67"/>
      <c r="J26" s="66"/>
      <c r="K26" s="73"/>
      <c r="L26" s="74"/>
      <c r="M26" s="66"/>
      <c r="N26" s="73"/>
      <c r="O26" s="72"/>
    </row>
    <row r="27" spans="2:15" s="1" customFormat="1" x14ac:dyDescent="0.3">
      <c r="B27" s="3"/>
      <c r="O27" s="59"/>
    </row>
    <row r="28" spans="2:15" s="1" customFormat="1" x14ac:dyDescent="0.3">
      <c r="B28" s="3"/>
      <c r="O28" s="59"/>
    </row>
  </sheetData>
  <phoneticPr fontId="10" type="noConversion"/>
  <printOptions horizontalCentered="1" verticalCentered="1"/>
  <pageMargins left="0.25" right="0.25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E62B-050E-432D-9F57-916FF042B1AC}">
  <sheetPr>
    <pageSetUpPr fitToPage="1"/>
  </sheetPr>
  <dimension ref="B1:Q61"/>
  <sheetViews>
    <sheetView topLeftCell="B1" workbookViewId="0">
      <selection activeCell="B1"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181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182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45628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>
        <v>0.33333333333333331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183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1000</v>
      </c>
      <c r="E9" s="30">
        <v>0.5</v>
      </c>
      <c r="F9" s="75">
        <f>D9*E9</f>
        <v>500</v>
      </c>
      <c r="G9" s="132">
        <f>D9/$D12</f>
        <v>1</v>
      </c>
      <c r="H9" s="27" t="s">
        <v>23</v>
      </c>
      <c r="I9" s="138">
        <v>2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0</v>
      </c>
      <c r="E10" s="30">
        <v>0</v>
      </c>
      <c r="F10" s="75"/>
      <c r="G10" s="132">
        <f>D10/D$12</f>
        <v>0</v>
      </c>
      <c r="H10" s="27" t="s">
        <v>46</v>
      </c>
      <c r="I10" s="138" t="s">
        <v>194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>
        <v>5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1000</v>
      </c>
      <c r="E12" s="103">
        <f>F9/D12</f>
        <v>0.5</v>
      </c>
      <c r="F12" s="76">
        <f>D12*E12</f>
        <v>500</v>
      </c>
      <c r="G12" s="5"/>
      <c r="H12" s="29" t="s">
        <v>25</v>
      </c>
      <c r="I12" s="138"/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184</v>
      </c>
      <c r="D15" s="91">
        <v>6250</v>
      </c>
      <c r="E15" s="80">
        <f>D15/D$38</f>
        <v>0.41853612803857232</v>
      </c>
      <c r="F15" s="115"/>
      <c r="G15" s="51">
        <v>0.4548611111111111</v>
      </c>
      <c r="H15" s="38" t="s">
        <v>27</v>
      </c>
      <c r="I15" s="39">
        <v>2</v>
      </c>
      <c r="J15" s="40">
        <v>0</v>
      </c>
      <c r="K15" s="41">
        <v>400</v>
      </c>
      <c r="L15" s="39">
        <v>87</v>
      </c>
      <c r="M15" s="39"/>
      <c r="N15" s="39"/>
      <c r="O15" s="38"/>
      <c r="P15" s="39">
        <f>I15*L15/100</f>
        <v>1.74</v>
      </c>
      <c r="Q15" s="84"/>
    </row>
    <row r="16" spans="2:17" s="1" customFormat="1" ht="20.25" customHeight="1" outlineLevel="1" x14ac:dyDescent="0.3">
      <c r="B16" s="79" t="s">
        <v>185</v>
      </c>
      <c r="C16" s="16"/>
      <c r="D16" s="91">
        <v>625</v>
      </c>
      <c r="E16" s="80">
        <f t="shared" ref="E16:E37" si="0">D16/D$38</f>
        <v>4.1853612803857236E-2</v>
      </c>
      <c r="F16" s="115"/>
      <c r="G16" s="51">
        <v>0.46875</v>
      </c>
      <c r="H16" s="38" t="s">
        <v>28</v>
      </c>
      <c r="I16" s="39">
        <v>12</v>
      </c>
      <c r="J16" s="40">
        <v>0</v>
      </c>
      <c r="K16" s="41"/>
      <c r="L16" s="39">
        <v>81.599999999999994</v>
      </c>
      <c r="M16" s="39"/>
      <c r="N16" s="39"/>
      <c r="O16" s="38"/>
      <c r="P16" s="39">
        <f>I16*L16/100</f>
        <v>9.7919999999999998</v>
      </c>
      <c r="Q16" s="84"/>
    </row>
    <row r="17" spans="2:17" s="1" customFormat="1" ht="20.25" customHeight="1" outlineLevel="1" x14ac:dyDescent="0.3">
      <c r="B17" s="79" t="s">
        <v>60</v>
      </c>
      <c r="C17" s="16"/>
      <c r="D17" s="91">
        <f>(1000*100)/600</f>
        <v>166.66666666666666</v>
      </c>
      <c r="E17" s="80">
        <f t="shared" si="0"/>
        <v>1.1160963414361928E-2</v>
      </c>
      <c r="F17" s="115"/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52</v>
      </c>
      <c r="C18" s="16"/>
      <c r="D18" s="91">
        <f>(1000*50)/600</f>
        <v>83.333333333333329</v>
      </c>
      <c r="E18" s="80">
        <f t="shared" si="0"/>
        <v>5.5804817071809639E-3</v>
      </c>
      <c r="F18" s="115"/>
      <c r="G18" s="51">
        <v>0.66666666666666663</v>
      </c>
      <c r="H18" s="38" t="s">
        <v>14</v>
      </c>
      <c r="I18" s="39">
        <v>199</v>
      </c>
      <c r="J18" s="40"/>
      <c r="K18" s="86"/>
      <c r="L18" s="39">
        <v>81.400000000000006</v>
      </c>
      <c r="M18" s="39"/>
      <c r="N18" s="39"/>
      <c r="O18" s="38"/>
      <c r="P18" s="39">
        <f t="shared" ref="P18:P30" si="1">I18*L18/100</f>
        <v>161.98599999999999</v>
      </c>
      <c r="Q18" s="84"/>
    </row>
    <row r="19" spans="2:17" s="1" customFormat="1" ht="20.25" customHeight="1" outlineLevel="1" x14ac:dyDescent="0.3">
      <c r="B19" s="79" t="s">
        <v>186</v>
      </c>
      <c r="C19" s="16"/>
      <c r="D19" s="91">
        <f>(1000*700)/600</f>
        <v>1166.6666666666667</v>
      </c>
      <c r="E19" s="80">
        <f t="shared" si="0"/>
        <v>7.8126743900533507E-2</v>
      </c>
      <c r="F19" s="115"/>
      <c r="G19" s="51"/>
      <c r="H19" s="38" t="s">
        <v>14</v>
      </c>
      <c r="I19" s="39"/>
      <c r="J19" s="40"/>
      <c r="K19" s="86"/>
      <c r="L19" s="39"/>
      <c r="M19" s="39"/>
      <c r="N19" s="39"/>
      <c r="O19" s="39"/>
      <c r="P19" s="39">
        <f t="shared" si="1"/>
        <v>0</v>
      </c>
      <c r="Q19" s="84"/>
    </row>
    <row r="20" spans="2:17" s="1" customFormat="1" ht="20.25" customHeight="1" outlineLevel="1" x14ac:dyDescent="0.3">
      <c r="B20" s="79" t="s">
        <v>187</v>
      </c>
      <c r="C20" s="16"/>
      <c r="D20" s="91">
        <f>(1000*1000)/600</f>
        <v>1666.6666666666667</v>
      </c>
      <c r="E20" s="80">
        <f t="shared" si="0"/>
        <v>0.1116096341436193</v>
      </c>
      <c r="F20" s="115"/>
      <c r="G20" s="51"/>
      <c r="H20" s="38" t="s">
        <v>14</v>
      </c>
      <c r="I20" s="39" t="s">
        <v>210</v>
      </c>
      <c r="J20" s="40"/>
      <c r="K20" s="86"/>
      <c r="L20" s="39"/>
      <c r="M20" s="39"/>
      <c r="N20" s="39"/>
      <c r="O20" s="39"/>
      <c r="P20" s="39" t="e">
        <f t="shared" si="1"/>
        <v>#VALUE!</v>
      </c>
      <c r="Q20" s="84"/>
    </row>
    <row r="21" spans="2:17" s="1" customFormat="1" ht="20.25" customHeight="1" x14ac:dyDescent="0.3">
      <c r="B21" s="79" t="s">
        <v>188</v>
      </c>
      <c r="C21" s="16"/>
      <c r="D21" s="91">
        <f>(1000*720)/600</f>
        <v>1200</v>
      </c>
      <c r="E21" s="80">
        <f t="shared" si="0"/>
        <v>8.0358936583405885E-2</v>
      </c>
      <c r="F21" s="115"/>
      <c r="G21" s="51"/>
      <c r="H21" s="38" t="s">
        <v>14</v>
      </c>
      <c r="I21" s="39"/>
      <c r="J21" s="40"/>
      <c r="K21" s="86"/>
      <c r="L21" s="39"/>
      <c r="M21" s="39"/>
      <c r="N21" s="39"/>
      <c r="O21" s="39"/>
      <c r="P21" s="39">
        <f t="shared" si="1"/>
        <v>0</v>
      </c>
      <c r="Q21" s="84"/>
    </row>
    <row r="22" spans="2:17" s="1" customFormat="1" ht="20.25" customHeight="1" x14ac:dyDescent="0.3">
      <c r="B22" s="79" t="s">
        <v>189</v>
      </c>
      <c r="C22" s="16"/>
      <c r="D22" s="91">
        <f>(1000*300)/600</f>
        <v>500</v>
      </c>
      <c r="E22" s="80">
        <f t="shared" si="0"/>
        <v>3.3482890243085789E-2</v>
      </c>
      <c r="F22" s="115"/>
      <c r="G22" s="51"/>
      <c r="H22" s="38" t="s">
        <v>14</v>
      </c>
      <c r="I22" s="39"/>
      <c r="J22" s="40"/>
      <c r="K22" s="86"/>
      <c r="L22" s="39"/>
      <c r="M22" s="39"/>
      <c r="N22" s="39"/>
      <c r="O22" s="39"/>
      <c r="P22" s="39">
        <f t="shared" si="1"/>
        <v>0</v>
      </c>
      <c r="Q22" s="84"/>
    </row>
    <row r="23" spans="2:17" s="1" customFormat="1" ht="20.25" customHeight="1" x14ac:dyDescent="0.3">
      <c r="B23" s="79" t="s">
        <v>190</v>
      </c>
      <c r="C23" s="16"/>
      <c r="D23" s="91">
        <f>(1000*1000)/600</f>
        <v>1666.6666666666667</v>
      </c>
      <c r="E23" s="80">
        <f t="shared" si="0"/>
        <v>0.1116096341436193</v>
      </c>
      <c r="F23" s="115"/>
      <c r="G23" s="51"/>
      <c r="H23" s="38"/>
      <c r="I23" s="39"/>
      <c r="J23" s="40"/>
      <c r="K23" s="86"/>
      <c r="L23" s="39"/>
      <c r="M23" s="39"/>
      <c r="N23" s="39"/>
      <c r="O23" s="39"/>
      <c r="P23" s="39">
        <f t="shared" si="1"/>
        <v>0</v>
      </c>
      <c r="Q23" s="84"/>
    </row>
    <row r="24" spans="2:17" s="1" customFormat="1" ht="20.25" customHeight="1" x14ac:dyDescent="0.3">
      <c r="B24" s="79" t="s">
        <v>191</v>
      </c>
      <c r="C24" s="16"/>
      <c r="D24" s="91">
        <f>(1000*100)/600</f>
        <v>166.66666666666666</v>
      </c>
      <c r="E24" s="80">
        <f t="shared" si="0"/>
        <v>1.1160963414361928E-2</v>
      </c>
      <c r="F24" s="115"/>
      <c r="G24" s="51"/>
      <c r="H24" s="38"/>
      <c r="I24" s="39"/>
      <c r="J24" s="40">
        <v>0</v>
      </c>
      <c r="K24" s="86">
        <f t="shared" ref="K24:K30" si="2">K23+I24</f>
        <v>0</v>
      </c>
      <c r="L24" s="39"/>
      <c r="M24" s="39"/>
      <c r="N24" s="39"/>
      <c r="O24" s="39"/>
      <c r="P24" s="39">
        <f t="shared" si="1"/>
        <v>0</v>
      </c>
      <c r="Q24" s="84"/>
    </row>
    <row r="25" spans="2:17" s="1" customFormat="1" ht="20.25" customHeight="1" x14ac:dyDescent="0.3">
      <c r="B25" s="79" t="s">
        <v>192</v>
      </c>
      <c r="C25" s="16"/>
      <c r="D25" s="91">
        <f>(1000*600)/600</f>
        <v>1000</v>
      </c>
      <c r="E25" s="80">
        <f t="shared" si="0"/>
        <v>6.6965780486171578E-2</v>
      </c>
      <c r="F25" s="115"/>
      <c r="G25" s="51"/>
      <c r="H25" s="38"/>
      <c r="I25" s="39"/>
      <c r="J25" s="40">
        <v>0</v>
      </c>
      <c r="K25" s="86">
        <f t="shared" si="2"/>
        <v>0</v>
      </c>
      <c r="L25" s="39"/>
      <c r="M25" s="39"/>
      <c r="N25" s="39"/>
      <c r="O25" s="39"/>
      <c r="P25" s="39">
        <f t="shared" si="1"/>
        <v>0</v>
      </c>
      <c r="Q25" s="84"/>
    </row>
    <row r="26" spans="2:17" s="1" customFormat="1" ht="20.25" customHeight="1" x14ac:dyDescent="0.3">
      <c r="B26" s="79" t="s">
        <v>193</v>
      </c>
      <c r="C26" s="16"/>
      <c r="D26" s="91">
        <f>(1000*200)/600</f>
        <v>333.33333333333331</v>
      </c>
      <c r="E26" s="80">
        <f t="shared" si="0"/>
        <v>2.2321926828723856E-2</v>
      </c>
      <c r="F26" s="115"/>
      <c r="G26" s="51"/>
      <c r="H26" s="38"/>
      <c r="I26" s="39"/>
      <c r="J26" s="40">
        <v>0</v>
      </c>
      <c r="K26" s="86">
        <f t="shared" si="2"/>
        <v>0</v>
      </c>
      <c r="L26" s="39"/>
      <c r="M26" s="39"/>
      <c r="N26" s="39"/>
      <c r="O26" s="39"/>
      <c r="P26" s="39">
        <f t="shared" si="1"/>
        <v>0</v>
      </c>
      <c r="Q26" s="84"/>
    </row>
    <row r="27" spans="2:17" s="1" customFormat="1" ht="20.25" customHeight="1" x14ac:dyDescent="0.3">
      <c r="B27" s="79"/>
      <c r="C27" s="16"/>
      <c r="D27" s="91"/>
      <c r="E27" s="80">
        <f t="shared" si="0"/>
        <v>0</v>
      </c>
      <c r="F27" s="115"/>
      <c r="G27" s="51"/>
      <c r="H27" s="38"/>
      <c r="I27" s="39"/>
      <c r="J27" s="40">
        <v>0</v>
      </c>
      <c r="K27" s="86">
        <f t="shared" si="2"/>
        <v>0</v>
      </c>
      <c r="L27" s="39"/>
      <c r="M27" s="39"/>
      <c r="N27" s="39"/>
      <c r="O27" s="39"/>
      <c r="P27" s="39">
        <f t="shared" si="1"/>
        <v>0</v>
      </c>
      <c r="Q27" s="84"/>
    </row>
    <row r="28" spans="2:17" s="1" customFormat="1" ht="20.25" customHeight="1" x14ac:dyDescent="0.3">
      <c r="B28" s="79"/>
      <c r="C28" s="16"/>
      <c r="D28" s="91"/>
      <c r="E28" s="80">
        <f t="shared" si="0"/>
        <v>0</v>
      </c>
      <c r="F28" s="115"/>
      <c r="G28" s="51"/>
      <c r="H28" s="38"/>
      <c r="I28" s="39"/>
      <c r="J28" s="40">
        <v>0</v>
      </c>
      <c r="K28" s="86">
        <f t="shared" si="2"/>
        <v>0</v>
      </c>
      <c r="L28" s="39"/>
      <c r="M28" s="39"/>
      <c r="N28" s="39"/>
      <c r="O28" s="39"/>
      <c r="P28" s="39">
        <f t="shared" si="1"/>
        <v>0</v>
      </c>
      <c r="Q28" s="84"/>
    </row>
    <row r="29" spans="2:17" s="1" customFormat="1" ht="20.25" customHeight="1" x14ac:dyDescent="0.3">
      <c r="B29" s="79"/>
      <c r="C29" s="16"/>
      <c r="D29" s="91"/>
      <c r="E29" s="80">
        <f t="shared" si="0"/>
        <v>0</v>
      </c>
      <c r="F29" s="115" t="s">
        <v>180</v>
      </c>
      <c r="G29" s="51"/>
      <c r="H29" s="38"/>
      <c r="I29" s="39"/>
      <c r="J29" s="40">
        <v>0</v>
      </c>
      <c r="K29" s="86">
        <f t="shared" si="2"/>
        <v>0</v>
      </c>
      <c r="L29" s="39"/>
      <c r="M29" s="39"/>
      <c r="N29" s="39"/>
      <c r="O29" s="39"/>
      <c r="P29" s="39">
        <f t="shared" si="1"/>
        <v>0</v>
      </c>
      <c r="Q29" s="84"/>
    </row>
    <row r="30" spans="2:17" s="1" customFormat="1" ht="20.25" customHeight="1" x14ac:dyDescent="0.3">
      <c r="B30" s="79"/>
      <c r="C30" s="16"/>
      <c r="D30" s="91"/>
      <c r="E30" s="80">
        <f t="shared" si="0"/>
        <v>0</v>
      </c>
      <c r="F30" s="115" t="s">
        <v>180</v>
      </c>
      <c r="G30" s="51"/>
      <c r="H30" s="38"/>
      <c r="I30" s="39"/>
      <c r="J30" s="40">
        <v>0</v>
      </c>
      <c r="K30" s="86">
        <f t="shared" si="2"/>
        <v>0</v>
      </c>
      <c r="L30" s="39"/>
      <c r="M30" s="39"/>
      <c r="N30" s="39"/>
      <c r="O30" s="39"/>
      <c r="P30" s="39">
        <f t="shared" si="1"/>
        <v>0</v>
      </c>
      <c r="Q30" s="84"/>
    </row>
    <row r="31" spans="2:17" s="1" customFormat="1" ht="20.25" customHeight="1" x14ac:dyDescent="0.3">
      <c r="B31" s="79"/>
      <c r="C31" s="16"/>
      <c r="D31" s="91"/>
      <c r="E31" s="80">
        <f t="shared" si="0"/>
        <v>0</v>
      </c>
      <c r="F31" s="115"/>
      <c r="G31" s="51">
        <v>0.29166666666666669</v>
      </c>
      <c r="H31" s="37" t="s">
        <v>15</v>
      </c>
      <c r="I31" s="39" t="s">
        <v>211</v>
      </c>
      <c r="J31" s="126" t="s">
        <v>138</v>
      </c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/>
      <c r="C32" s="16"/>
      <c r="D32" s="91"/>
      <c r="E32" s="80">
        <f t="shared" si="0"/>
        <v>0</v>
      </c>
      <c r="F32" s="115"/>
      <c r="G32" s="106"/>
      <c r="H32" s="123"/>
      <c r="I32" s="108">
        <v>100</v>
      </c>
      <c r="J32" s="109"/>
      <c r="K32" s="112"/>
      <c r="L32" s="108">
        <v>78</v>
      </c>
      <c r="M32" s="108"/>
      <c r="N32" s="108"/>
      <c r="O32" s="108"/>
      <c r="P32" s="112"/>
      <c r="Q32" s="84" t="s">
        <v>212</v>
      </c>
    </row>
    <row r="33" spans="2:17" s="1" customFormat="1" ht="20.25" customHeight="1" x14ac:dyDescent="0.3">
      <c r="B33" s="79"/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/>
      <c r="C34" s="16"/>
      <c r="D34" s="91"/>
      <c r="E34" s="80">
        <f t="shared" si="0"/>
        <v>0</v>
      </c>
      <c r="F34" s="115"/>
      <c r="G34" s="11"/>
      <c r="H34" s="129" t="s">
        <v>84</v>
      </c>
      <c r="I34" s="35"/>
      <c r="J34" s="36"/>
      <c r="K34" s="36"/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/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/>
      <c r="C36" s="16"/>
      <c r="D36" s="91">
        <v>108</v>
      </c>
      <c r="E36" s="80">
        <f t="shared" si="0"/>
        <v>7.2323042925065304E-3</v>
      </c>
      <c r="F36" s="115"/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/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2</v>
      </c>
      <c r="K37" s="46">
        <f>J37/(J37+J38+J39)</f>
        <v>9.3896713615023476E-3</v>
      </c>
      <c r="L37" s="111">
        <f>M37/J37</f>
        <v>5.766</v>
      </c>
      <c r="M37" s="96">
        <f>SUM(P15+P16)</f>
        <v>11.532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14932.999999999998</v>
      </c>
      <c r="E38" s="82">
        <f>SUM(E15:E37)</f>
        <v>1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12</v>
      </c>
      <c r="K38" s="46">
        <f>J38/(J38+J39+J37)</f>
        <v>5.6338028169014086E-2</v>
      </c>
      <c r="L38" s="111" t="e">
        <f>M38/J38</f>
        <v>#VALUE!</v>
      </c>
      <c r="M38" s="96" t="e">
        <f>SUM(P18:P30)</f>
        <v>#VALUE!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29.865999999999996</v>
      </c>
      <c r="G39" s="10" t="s">
        <v>41</v>
      </c>
      <c r="H39" s="54" t="s">
        <v>164</v>
      </c>
      <c r="I39" s="53" t="s">
        <v>160</v>
      </c>
      <c r="J39" s="55">
        <v>199</v>
      </c>
      <c r="K39" s="94">
        <v>0.81399999999999995</v>
      </c>
      <c r="L39" s="111" t="e">
        <f>M39/J39</f>
        <v>#VALUE!</v>
      </c>
      <c r="M39" s="96" t="e">
        <f>SUM(P19:P31)</f>
        <v>#VALUE!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v>100</v>
      </c>
      <c r="K40" s="48">
        <v>0.8</v>
      </c>
      <c r="L40" s="111">
        <f>M40/J40</f>
        <v>0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313</v>
      </c>
      <c r="K41" s="97">
        <f>SUM(K37:K40)</f>
        <v>1.6797276995305164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 t="e">
        <f>SUM(M39:M41)</f>
        <v>#VALUE!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>
        <v>45662</v>
      </c>
      <c r="I44" s="45">
        <f>J39</f>
        <v>199</v>
      </c>
      <c r="J44" s="19">
        <v>20</v>
      </c>
      <c r="K44" s="88">
        <f>I44+J44</f>
        <v>219</v>
      </c>
      <c r="L44" s="95">
        <v>0.41299999999999998</v>
      </c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25">
        <f>I44+J44</f>
        <v>219</v>
      </c>
      <c r="J45" s="19">
        <v>5</v>
      </c>
      <c r="K45" s="88">
        <f>K44+J45</f>
        <v>224</v>
      </c>
      <c r="L45" s="95">
        <v>0.4</v>
      </c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224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224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418</v>
      </c>
      <c r="J48" s="35">
        <f>SUM(J44:J47)</f>
        <v>25</v>
      </c>
      <c r="K48" s="101">
        <f>K47</f>
        <v>224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#VALUE!</v>
      </c>
      <c r="M51" s="114" t="e">
        <f>M39+#REF!</f>
        <v>#VALUE!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3">K51+J52</f>
        <v>#REF!</v>
      </c>
      <c r="L52" s="95"/>
      <c r="M52" s="96" t="e">
        <f t="shared" ref="M52:M57" si="4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3"/>
        <v>#REF!</v>
      </c>
      <c r="L53" s="56"/>
      <c r="M53" s="96" t="e">
        <f t="shared" si="4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3"/>
        <v>#REF!</v>
      </c>
      <c r="L54" s="56"/>
      <c r="M54" s="96" t="e">
        <f t="shared" si="4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3"/>
        <v>#REF!</v>
      </c>
      <c r="L55" s="56"/>
      <c r="M55" s="96" t="e">
        <f t="shared" si="4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3"/>
        <v>#REF!</v>
      </c>
      <c r="L56" s="56"/>
      <c r="M56" s="96" t="e">
        <f t="shared" si="4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3"/>
        <v>#REF!</v>
      </c>
      <c r="L57" s="56"/>
      <c r="M57" s="96" t="e">
        <f t="shared" si="4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303A-530E-8347-B67C-C7E1511F5C16}">
  <sheetPr>
    <pageSetUpPr fitToPage="1"/>
  </sheetPr>
  <dimension ref="B1:Q61"/>
  <sheetViews>
    <sheetView tabSelected="1" workbookViewId="0">
      <selection activeCell="C3" sqref="C3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213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103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44943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>
        <v>0.26041666666666669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139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1000</v>
      </c>
      <c r="E9" s="30">
        <v>0.45</v>
      </c>
      <c r="F9" s="75">
        <f>D9*E9</f>
        <v>450</v>
      </c>
      <c r="G9" s="132">
        <f>D9/$D12</f>
        <v>1</v>
      </c>
      <c r="H9" s="27" t="s">
        <v>23</v>
      </c>
      <c r="I9" s="138" t="s">
        <v>158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0</v>
      </c>
      <c r="E10" s="30">
        <v>0</v>
      </c>
      <c r="F10" s="75"/>
      <c r="G10" s="132">
        <f>D10/D$12</f>
        <v>0</v>
      </c>
      <c r="H10" s="27" t="s">
        <v>46</v>
      </c>
      <c r="I10" s="138" t="s">
        <v>159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1000</v>
      </c>
      <c r="E12" s="103">
        <f>F9/D12</f>
        <v>0.45</v>
      </c>
      <c r="F12" s="76">
        <f>D12*E12</f>
        <v>450</v>
      </c>
      <c r="G12" s="5"/>
      <c r="H12" s="29" t="s">
        <v>25</v>
      </c>
      <c r="I12" s="138"/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6250</v>
      </c>
      <c r="E15" s="80">
        <f>D15/D$38</f>
        <v>0.62581355762491242</v>
      </c>
      <c r="F15" s="115" t="s">
        <v>180</v>
      </c>
      <c r="G15" s="51"/>
      <c r="H15" s="38" t="s">
        <v>27</v>
      </c>
      <c r="I15" s="39">
        <v>15</v>
      </c>
      <c r="J15" s="40">
        <v>0</v>
      </c>
      <c r="K15" s="41">
        <v>400</v>
      </c>
      <c r="L15" s="39">
        <v>81.400000000000006</v>
      </c>
      <c r="M15" s="39"/>
      <c r="N15" s="39"/>
      <c r="O15" s="38"/>
      <c r="P15" s="39">
        <f>I15*L15/100</f>
        <v>12.21</v>
      </c>
      <c r="Q15" s="84"/>
    </row>
    <row r="16" spans="2:17" s="1" customFormat="1" ht="20.25" customHeight="1" outlineLevel="1" x14ac:dyDescent="0.3">
      <c r="B16" s="79" t="s">
        <v>104</v>
      </c>
      <c r="C16" s="16" t="s">
        <v>105</v>
      </c>
      <c r="D16" s="91">
        <v>625</v>
      </c>
      <c r="E16" s="80">
        <f t="shared" ref="E16:E37" si="0">D16/D$38</f>
        <v>6.2581355762491242E-2</v>
      </c>
      <c r="F16" s="115"/>
      <c r="G16" s="51"/>
      <c r="H16" s="38" t="s">
        <v>28</v>
      </c>
      <c r="I16" s="39" t="s">
        <v>162</v>
      </c>
      <c r="J16" s="40">
        <v>0</v>
      </c>
      <c r="K16" s="41"/>
      <c r="L16" s="39"/>
      <c r="M16" s="39"/>
      <c r="N16" s="39"/>
      <c r="O16" s="38"/>
      <c r="P16" s="39" t="e">
        <f>I16*L16/100</f>
        <v>#VALUE!</v>
      </c>
      <c r="Q16" s="84"/>
    </row>
    <row r="17" spans="2:17" s="1" customFormat="1" ht="20.25" customHeight="1" outlineLevel="1" x14ac:dyDescent="0.3">
      <c r="B17" s="79" t="s">
        <v>60</v>
      </c>
      <c r="C17" s="16"/>
      <c r="D17" s="91">
        <v>168</v>
      </c>
      <c r="E17" s="80">
        <f t="shared" si="0"/>
        <v>1.6821868428957644E-2</v>
      </c>
      <c r="F17" s="115" t="s">
        <v>180</v>
      </c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>
        <v>0.39583333333333331</v>
      </c>
      <c r="H18" s="38" t="s">
        <v>14</v>
      </c>
      <c r="I18" s="39">
        <v>20.2</v>
      </c>
      <c r="J18" s="40">
        <v>0</v>
      </c>
      <c r="K18" s="86">
        <f>I18</f>
        <v>20.2</v>
      </c>
      <c r="L18" s="39">
        <v>81.3</v>
      </c>
      <c r="M18" s="39">
        <v>30</v>
      </c>
      <c r="N18" s="39">
        <v>76.400000000000006</v>
      </c>
      <c r="O18" s="38">
        <v>32.6</v>
      </c>
      <c r="P18" s="39">
        <f t="shared" ref="P18:P30" si="1">I18*L18/100</f>
        <v>16.422599999999999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>
        <v>0.41666666666666669</v>
      </c>
      <c r="H19" s="38" t="s">
        <v>14</v>
      </c>
      <c r="I19" s="39">
        <v>46.4</v>
      </c>
      <c r="J19" s="40">
        <v>0</v>
      </c>
      <c r="K19" s="86">
        <f>K18+I19</f>
        <v>66.599999999999994</v>
      </c>
      <c r="L19" s="39">
        <v>80.8</v>
      </c>
      <c r="M19" s="39">
        <v>30</v>
      </c>
      <c r="N19" s="39">
        <v>76.900000000000006</v>
      </c>
      <c r="O19" s="39">
        <v>33.6</v>
      </c>
      <c r="P19" s="39">
        <f t="shared" si="1"/>
        <v>37.491199999999999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252</v>
      </c>
      <c r="E20" s="80">
        <f t="shared" si="0"/>
        <v>2.5232802643436466E-2</v>
      </c>
      <c r="F20" s="115"/>
      <c r="G20" s="51">
        <v>0.46666666666666662</v>
      </c>
      <c r="H20" s="38" t="s">
        <v>14</v>
      </c>
      <c r="I20" s="39">
        <v>99.2</v>
      </c>
      <c r="J20" s="40">
        <v>0</v>
      </c>
      <c r="K20" s="86">
        <f t="shared" ref="K20:K30" si="2">K19+I20</f>
        <v>165.8</v>
      </c>
      <c r="L20" s="39">
        <v>79.400000000000006</v>
      </c>
      <c r="M20" s="39">
        <v>31.8</v>
      </c>
      <c r="N20" s="39">
        <v>77.400000000000006</v>
      </c>
      <c r="O20" s="39">
        <v>33.4</v>
      </c>
      <c r="P20" s="39">
        <f t="shared" si="1"/>
        <v>78.764800000000008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168</v>
      </c>
      <c r="E21" s="80">
        <f t="shared" si="0"/>
        <v>1.6821868428957644E-2</v>
      </c>
      <c r="F21" s="115"/>
      <c r="G21" s="51">
        <v>0.51597222222222217</v>
      </c>
      <c r="H21" s="38" t="s">
        <v>14</v>
      </c>
      <c r="I21" s="39">
        <v>157</v>
      </c>
      <c r="J21" s="40">
        <v>0</v>
      </c>
      <c r="K21" s="86">
        <f t="shared" si="2"/>
        <v>322.8</v>
      </c>
      <c r="L21" s="39">
        <v>79.900000000000006</v>
      </c>
      <c r="M21" s="39">
        <v>30.4</v>
      </c>
      <c r="N21" s="39">
        <v>77.8</v>
      </c>
      <c r="O21" s="39">
        <v>33.1</v>
      </c>
      <c r="P21" s="39">
        <f t="shared" si="1"/>
        <v>125.44300000000001</v>
      </c>
      <c r="Q21" s="84"/>
    </row>
    <row r="22" spans="2:17" s="1" customFormat="1" ht="20.25" customHeight="1" x14ac:dyDescent="0.3">
      <c r="B22" s="79" t="s">
        <v>115</v>
      </c>
      <c r="C22" s="16"/>
      <c r="D22" s="91">
        <v>832</v>
      </c>
      <c r="E22" s="80">
        <f t="shared" si="0"/>
        <v>8.3308300791028342E-2</v>
      </c>
      <c r="F22" s="115"/>
      <c r="G22" s="51" t="s">
        <v>161</v>
      </c>
      <c r="H22" s="38" t="s">
        <v>14</v>
      </c>
      <c r="I22" s="39">
        <v>205.3</v>
      </c>
      <c r="J22" s="40">
        <v>0</v>
      </c>
      <c r="K22" s="86">
        <f t="shared" si="2"/>
        <v>528.1</v>
      </c>
      <c r="L22" s="39">
        <v>78.900000000000006</v>
      </c>
      <c r="M22" s="39">
        <v>30.7</v>
      </c>
      <c r="N22" s="39">
        <v>78.3</v>
      </c>
      <c r="O22" s="39">
        <v>36.299999999999997</v>
      </c>
      <c r="P22" s="39">
        <f t="shared" si="1"/>
        <v>161.98170000000002</v>
      </c>
      <c r="Q22" s="84"/>
    </row>
    <row r="23" spans="2:17" s="1" customFormat="1" ht="20.25" customHeight="1" x14ac:dyDescent="0.3">
      <c r="B23" s="79" t="s">
        <v>113</v>
      </c>
      <c r="C23" s="16"/>
      <c r="D23" s="91">
        <v>500</v>
      </c>
      <c r="E23" s="80">
        <f t="shared" si="0"/>
        <v>5.0065084609992989E-2</v>
      </c>
      <c r="F23" s="115"/>
      <c r="G23" s="51">
        <v>6.3888888888888884E-2</v>
      </c>
      <c r="H23" s="38" t="s">
        <v>14</v>
      </c>
      <c r="I23" s="39">
        <v>209.2</v>
      </c>
      <c r="J23" s="40">
        <v>0</v>
      </c>
      <c r="K23" s="86">
        <f t="shared" si="2"/>
        <v>737.3</v>
      </c>
      <c r="L23" s="39"/>
      <c r="M23" s="39"/>
      <c r="N23" s="39"/>
      <c r="O23" s="39"/>
      <c r="P23" s="39">
        <f t="shared" si="1"/>
        <v>0</v>
      </c>
      <c r="Q23" s="84" t="s">
        <v>163</v>
      </c>
    </row>
    <row r="24" spans="2:17" s="1" customFormat="1" ht="20.25" customHeight="1" x14ac:dyDescent="0.3">
      <c r="B24" s="79" t="s">
        <v>114</v>
      </c>
      <c r="C24" s="16"/>
      <c r="D24" s="91">
        <v>332</v>
      </c>
      <c r="E24" s="80">
        <f t="shared" si="0"/>
        <v>3.3243216181035345E-2</v>
      </c>
      <c r="F24" s="115"/>
      <c r="G24" s="51"/>
      <c r="H24" s="38" t="s">
        <v>14</v>
      </c>
      <c r="I24" s="39"/>
      <c r="J24" s="40">
        <v>0</v>
      </c>
      <c r="K24" s="86">
        <f t="shared" si="2"/>
        <v>737.3</v>
      </c>
      <c r="L24" s="39"/>
      <c r="M24" s="39"/>
      <c r="N24" s="39"/>
      <c r="O24" s="39"/>
      <c r="P24" s="39">
        <f t="shared" si="1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332</v>
      </c>
      <c r="E25" s="80">
        <f t="shared" si="0"/>
        <v>3.3243216181035345E-2</v>
      </c>
      <c r="F25" s="115"/>
      <c r="G25" s="51"/>
      <c r="H25" s="38" t="s">
        <v>14</v>
      </c>
      <c r="I25" s="39"/>
      <c r="J25" s="40">
        <v>0</v>
      </c>
      <c r="K25" s="86">
        <f t="shared" si="2"/>
        <v>737.3</v>
      </c>
      <c r="L25" s="39"/>
      <c r="M25" s="39"/>
      <c r="N25" s="39"/>
      <c r="O25" s="39"/>
      <c r="P25" s="39">
        <f t="shared" si="1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252</v>
      </c>
      <c r="E26" s="80">
        <f t="shared" si="0"/>
        <v>2.5232802643436466E-2</v>
      </c>
      <c r="F26" s="115"/>
      <c r="G26" s="51"/>
      <c r="H26" s="38" t="s">
        <v>14</v>
      </c>
      <c r="I26" s="39"/>
      <c r="J26" s="40">
        <v>0</v>
      </c>
      <c r="K26" s="86">
        <f t="shared" si="2"/>
        <v>737.3</v>
      </c>
      <c r="L26" s="39"/>
      <c r="M26" s="39"/>
      <c r="N26" s="39"/>
      <c r="O26" s="39"/>
      <c r="P26" s="39">
        <f t="shared" si="1"/>
        <v>0</v>
      </c>
      <c r="Q26" s="84"/>
    </row>
    <row r="27" spans="2:17" s="1" customFormat="1" ht="20.25" customHeight="1" x14ac:dyDescent="0.3">
      <c r="B27" s="79" t="s">
        <v>51</v>
      </c>
      <c r="C27" s="16"/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v>0</v>
      </c>
      <c r="K27" s="86">
        <f t="shared" si="2"/>
        <v>737.3</v>
      </c>
      <c r="L27" s="39"/>
      <c r="M27" s="39"/>
      <c r="N27" s="39"/>
      <c r="O27" s="39"/>
      <c r="P27" s="39">
        <f t="shared" si="1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v>0</v>
      </c>
      <c r="K28" s="86">
        <f t="shared" si="2"/>
        <v>737.3</v>
      </c>
      <c r="L28" s="39"/>
      <c r="M28" s="39"/>
      <c r="N28" s="39"/>
      <c r="O28" s="39"/>
      <c r="P28" s="39">
        <f t="shared" si="1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>
        <v>84</v>
      </c>
      <c r="E29" s="80">
        <f t="shared" si="0"/>
        <v>8.410934214478822E-3</v>
      </c>
      <c r="F29" s="115" t="s">
        <v>180</v>
      </c>
      <c r="G29" s="51"/>
      <c r="H29" s="38" t="s">
        <v>14</v>
      </c>
      <c r="I29" s="39"/>
      <c r="J29" s="40">
        <v>0</v>
      </c>
      <c r="K29" s="86">
        <f t="shared" si="2"/>
        <v>737.3</v>
      </c>
      <c r="L29" s="39"/>
      <c r="M29" s="39"/>
      <c r="N29" s="39"/>
      <c r="O29" s="39"/>
      <c r="P29" s="39">
        <f t="shared" si="1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84</v>
      </c>
      <c r="E30" s="80">
        <f t="shared" si="0"/>
        <v>8.410934214478822E-3</v>
      </c>
      <c r="F30" s="115" t="s">
        <v>180</v>
      </c>
      <c r="G30" s="51"/>
      <c r="H30" s="38" t="s">
        <v>14</v>
      </c>
      <c r="I30" s="39"/>
      <c r="J30" s="40">
        <v>0</v>
      </c>
      <c r="K30" s="86">
        <f t="shared" si="2"/>
        <v>737.3</v>
      </c>
      <c r="L30" s="39"/>
      <c r="M30" s="39"/>
      <c r="N30" s="39"/>
      <c r="O30" s="39"/>
      <c r="P30" s="39">
        <f t="shared" si="1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 t="s">
        <v>138</v>
      </c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/>
      <c r="J34" s="36"/>
      <c r="K34" s="36"/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108</v>
      </c>
      <c r="E36" s="80">
        <f t="shared" si="0"/>
        <v>1.0814058275758487E-2</v>
      </c>
      <c r="F36" s="115"/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15</v>
      </c>
      <c r="K37" s="46">
        <f>J37/(J37+J38+J39)</f>
        <v>5.8184639255236613E-2</v>
      </c>
      <c r="L37" s="111" t="e">
        <f>M37/J37</f>
        <v>#VALUE!</v>
      </c>
      <c r="M37" s="96" t="e">
        <f>SUM(P15+P16)</f>
        <v>#VALUE!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9987</v>
      </c>
      <c r="E38" s="82">
        <f>SUM(E15:E37)</f>
        <v>0.99999999999999978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0</v>
      </c>
      <c r="K38" s="46">
        <f>J38/(J38+J39+J37)</f>
        <v>0</v>
      </c>
      <c r="L38" s="111" t="e">
        <f>M38/J38</f>
        <v>#DIV/0!</v>
      </c>
      <c r="M38" s="96">
        <f>SUM(P18:P30)</f>
        <v>420.1033000000001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22.193333333333332</v>
      </c>
      <c r="G39" s="10" t="s">
        <v>41</v>
      </c>
      <c r="H39" s="54" t="s">
        <v>164</v>
      </c>
      <c r="I39" s="53" t="s">
        <v>160</v>
      </c>
      <c r="J39" s="55">
        <v>242.8</v>
      </c>
      <c r="K39" s="94">
        <f>J39/(J39+J38+J37)</f>
        <v>0.94181536074476335</v>
      </c>
      <c r="L39" s="111">
        <f>M39/J39</f>
        <v>1.6626058484349258</v>
      </c>
      <c r="M39" s="96">
        <f>SUM(P19:P31)</f>
        <v>403.6807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257.8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403.6807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/>
      <c r="I44" s="45">
        <f>J39</f>
        <v>242.8</v>
      </c>
      <c r="J44" s="19"/>
      <c r="K44" s="88">
        <f>I44+J44</f>
        <v>242.8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242.8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242.8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242.8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242.8</v>
      </c>
      <c r="J48" s="35">
        <f>SUM(J44:J47)</f>
        <v>0</v>
      </c>
      <c r="K48" s="101">
        <f>K47</f>
        <v>242.8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3">K51+J52</f>
        <v>#REF!</v>
      </c>
      <c r="L52" s="95"/>
      <c r="M52" s="96" t="e">
        <f t="shared" ref="M52:M57" si="4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3"/>
        <v>#REF!</v>
      </c>
      <c r="L53" s="56"/>
      <c r="M53" s="96" t="e">
        <f t="shared" si="4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3"/>
        <v>#REF!</v>
      </c>
      <c r="L54" s="56"/>
      <c r="M54" s="96" t="e">
        <f t="shared" si="4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3"/>
        <v>#REF!</v>
      </c>
      <c r="L55" s="56"/>
      <c r="M55" s="96" t="e">
        <f t="shared" si="4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3"/>
        <v>#REF!</v>
      </c>
      <c r="L56" s="56"/>
      <c r="M56" s="96" t="e">
        <f t="shared" si="4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3"/>
        <v>#REF!</v>
      </c>
      <c r="L57" s="56"/>
      <c r="M57" s="96" t="e">
        <f t="shared" si="4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E586-2147-48FD-9B7B-C8F335BF13DD}">
  <sheetPr>
    <pageSetUpPr fitToPage="1"/>
  </sheetPr>
  <dimension ref="B1:Q61"/>
  <sheetViews>
    <sheetView workbookViewId="0">
      <selection activeCell="A19"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155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103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44578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>
        <v>0.26041666666666669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139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1060</v>
      </c>
      <c r="E9" s="30">
        <v>0.45</v>
      </c>
      <c r="F9" s="75">
        <f>D9*E9</f>
        <v>477</v>
      </c>
      <c r="G9" s="132">
        <f>D9/$D12</f>
        <v>1</v>
      </c>
      <c r="H9" s="27" t="s">
        <v>23</v>
      </c>
      <c r="I9" s="138" t="s">
        <v>157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0</v>
      </c>
      <c r="E10" s="30">
        <v>0</v>
      </c>
      <c r="F10" s="75"/>
      <c r="G10" s="132">
        <f>D10/D$12</f>
        <v>0</v>
      </c>
      <c r="H10" s="27" t="s">
        <v>46</v>
      </c>
      <c r="I10" s="138" t="s">
        <v>123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1060</v>
      </c>
      <c r="E12" s="103">
        <f>F9/D12</f>
        <v>0.45</v>
      </c>
      <c r="F12" s="76">
        <f>D12*E12</f>
        <v>477</v>
      </c>
      <c r="G12" s="5"/>
      <c r="H12" s="29" t="s">
        <v>25</v>
      </c>
      <c r="I12" s="138"/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6250</v>
      </c>
      <c r="E15" s="80">
        <f>D15/D$38</f>
        <v>0.62581355762491242</v>
      </c>
      <c r="F15" s="115"/>
      <c r="G15" s="51"/>
      <c r="H15" s="38" t="s">
        <v>27</v>
      </c>
      <c r="I15" s="39">
        <v>15</v>
      </c>
      <c r="J15" s="40">
        <v>0.81299999999999994</v>
      </c>
      <c r="K15" s="41">
        <v>400</v>
      </c>
      <c r="L15" s="39"/>
      <c r="M15" s="39"/>
      <c r="N15" s="39"/>
      <c r="O15" s="38"/>
      <c r="P15" s="39">
        <f>I15*L15/100</f>
        <v>0</v>
      </c>
      <c r="Q15" s="84" t="s">
        <v>156</v>
      </c>
    </row>
    <row r="16" spans="2:17" s="1" customFormat="1" ht="20.25" customHeight="1" outlineLevel="1" x14ac:dyDescent="0.3">
      <c r="B16" s="79" t="s">
        <v>104</v>
      </c>
      <c r="C16" s="16" t="s">
        <v>105</v>
      </c>
      <c r="D16" s="91">
        <v>625</v>
      </c>
      <c r="E16" s="80">
        <f t="shared" ref="E16:E37" si="0">D16/D$38</f>
        <v>6.2581355762491242E-2</v>
      </c>
      <c r="F16" s="115"/>
      <c r="G16" s="51"/>
      <c r="H16" s="38" t="s">
        <v>28</v>
      </c>
      <c r="I16" s="39"/>
      <c r="J16" s="40">
        <f t="shared" ref="J16:J30" si="1">I16/I$34</f>
        <v>0</v>
      </c>
      <c r="K16" s="41"/>
      <c r="L16" s="39"/>
      <c r="M16" s="39"/>
      <c r="N16" s="39"/>
      <c r="O16" s="38"/>
      <c r="P16" s="39">
        <f>I16*L16/100</f>
        <v>0</v>
      </c>
      <c r="Q16" s="84"/>
    </row>
    <row r="17" spans="2:17" s="1" customFormat="1" ht="20.25" customHeight="1" outlineLevel="1" x14ac:dyDescent="0.3">
      <c r="B17" s="79" t="s">
        <v>60</v>
      </c>
      <c r="C17" s="16" t="s">
        <v>179</v>
      </c>
      <c r="D17" s="91">
        <v>168</v>
      </c>
      <c r="E17" s="80">
        <f t="shared" si="0"/>
        <v>1.6821868428957644E-2</v>
      </c>
      <c r="F17" s="115"/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>
        <v>0.39583333333333331</v>
      </c>
      <c r="H18" s="38" t="s">
        <v>14</v>
      </c>
      <c r="I18" s="39">
        <v>20.2</v>
      </c>
      <c r="J18" s="40">
        <f t="shared" si="1"/>
        <v>0.57386363636363624</v>
      </c>
      <c r="K18" s="86">
        <f>I18</f>
        <v>20.2</v>
      </c>
      <c r="L18" s="39">
        <v>81.3</v>
      </c>
      <c r="M18" s="39">
        <v>30</v>
      </c>
      <c r="N18" s="39">
        <v>76.400000000000006</v>
      </c>
      <c r="O18" s="38">
        <v>32.6</v>
      </c>
      <c r="P18" s="39">
        <f t="shared" ref="P18:P30" si="2">I18*L18/100</f>
        <v>16.422599999999999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/>
      <c r="H19" s="38" t="s">
        <v>14</v>
      </c>
      <c r="I19" s="39"/>
      <c r="J19" s="40">
        <f t="shared" si="1"/>
        <v>0</v>
      </c>
      <c r="K19" s="86">
        <f>K18+I19</f>
        <v>20.2</v>
      </c>
      <c r="L19" s="39"/>
      <c r="M19" s="39"/>
      <c r="N19" s="39"/>
      <c r="O19" s="39"/>
      <c r="P19" s="39">
        <f t="shared" si="2"/>
        <v>0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252</v>
      </c>
      <c r="E20" s="80">
        <f t="shared" si="0"/>
        <v>2.5232802643436466E-2</v>
      </c>
      <c r="F20" s="115"/>
      <c r="G20" s="51"/>
      <c r="H20" s="38" t="s">
        <v>14</v>
      </c>
      <c r="I20" s="39"/>
      <c r="J20" s="40">
        <f t="shared" si="1"/>
        <v>0</v>
      </c>
      <c r="K20" s="86">
        <f t="shared" ref="K20:K30" si="3">K19+I20</f>
        <v>20.2</v>
      </c>
      <c r="L20" s="39"/>
      <c r="M20" s="39"/>
      <c r="N20" s="39"/>
      <c r="O20" s="39"/>
      <c r="P20" s="39">
        <f t="shared" si="2"/>
        <v>0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168</v>
      </c>
      <c r="E21" s="80">
        <f t="shared" si="0"/>
        <v>1.6821868428957644E-2</v>
      </c>
      <c r="F21" s="115"/>
      <c r="G21" s="51"/>
      <c r="H21" s="38" t="s">
        <v>14</v>
      </c>
      <c r="I21" s="39"/>
      <c r="J21" s="40">
        <f t="shared" si="1"/>
        <v>0</v>
      </c>
      <c r="K21" s="86">
        <f t="shared" si="3"/>
        <v>20.2</v>
      </c>
      <c r="L21" s="39"/>
      <c r="M21" s="39"/>
      <c r="N21" s="39"/>
      <c r="O21" s="39"/>
      <c r="P21" s="39">
        <f t="shared" si="2"/>
        <v>0</v>
      </c>
      <c r="Q21" s="84"/>
    </row>
    <row r="22" spans="2:17" s="1" customFormat="1" ht="20.25" customHeight="1" x14ac:dyDescent="0.3">
      <c r="B22" s="79" t="s">
        <v>115</v>
      </c>
      <c r="C22" s="16" t="s">
        <v>179</v>
      </c>
      <c r="D22" s="91">
        <v>832</v>
      </c>
      <c r="E22" s="80">
        <f t="shared" si="0"/>
        <v>8.3308300791028342E-2</v>
      </c>
      <c r="F22" s="115"/>
      <c r="G22" s="51"/>
      <c r="H22" s="38" t="s">
        <v>14</v>
      </c>
      <c r="I22" s="39"/>
      <c r="J22" s="40">
        <f t="shared" si="1"/>
        <v>0</v>
      </c>
      <c r="K22" s="86">
        <f t="shared" si="3"/>
        <v>20.2</v>
      </c>
      <c r="L22" s="39"/>
      <c r="M22" s="39"/>
      <c r="N22" s="39"/>
      <c r="O22" s="39"/>
      <c r="P22" s="39">
        <f t="shared" si="2"/>
        <v>0</v>
      </c>
      <c r="Q22" s="84"/>
    </row>
    <row r="23" spans="2:17" s="1" customFormat="1" ht="20.25" customHeight="1" x14ac:dyDescent="0.3">
      <c r="B23" s="79" t="s">
        <v>113</v>
      </c>
      <c r="C23" s="16"/>
      <c r="D23" s="91">
        <v>500</v>
      </c>
      <c r="E23" s="80">
        <f t="shared" si="0"/>
        <v>5.0065084609992989E-2</v>
      </c>
      <c r="F23" s="115"/>
      <c r="G23" s="51"/>
      <c r="H23" s="38" t="s">
        <v>14</v>
      </c>
      <c r="I23" s="39"/>
      <c r="J23" s="40">
        <f t="shared" si="1"/>
        <v>0</v>
      </c>
      <c r="K23" s="86">
        <f t="shared" si="3"/>
        <v>20.2</v>
      </c>
      <c r="L23" s="39"/>
      <c r="M23" s="39"/>
      <c r="N23" s="39"/>
      <c r="O23" s="39"/>
      <c r="P23" s="39">
        <f t="shared" si="2"/>
        <v>0</v>
      </c>
      <c r="Q23" s="84"/>
    </row>
    <row r="24" spans="2:17" s="1" customFormat="1" ht="20.25" customHeight="1" x14ac:dyDescent="0.3">
      <c r="B24" s="79" t="s">
        <v>114</v>
      </c>
      <c r="C24" s="16"/>
      <c r="D24" s="91">
        <v>332</v>
      </c>
      <c r="E24" s="80">
        <f t="shared" si="0"/>
        <v>3.3243216181035345E-2</v>
      </c>
      <c r="F24" s="115"/>
      <c r="G24" s="51"/>
      <c r="H24" s="38" t="s">
        <v>14</v>
      </c>
      <c r="I24" s="39"/>
      <c r="J24" s="40">
        <f t="shared" si="1"/>
        <v>0</v>
      </c>
      <c r="K24" s="86">
        <f t="shared" si="3"/>
        <v>20.2</v>
      </c>
      <c r="L24" s="39"/>
      <c r="M24" s="39"/>
      <c r="N24" s="39"/>
      <c r="O24" s="39"/>
      <c r="P24" s="39">
        <f t="shared" si="2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332</v>
      </c>
      <c r="E25" s="80">
        <f t="shared" si="0"/>
        <v>3.3243216181035345E-2</v>
      </c>
      <c r="F25" s="115"/>
      <c r="G25" s="51"/>
      <c r="H25" s="38" t="s">
        <v>14</v>
      </c>
      <c r="I25" s="39"/>
      <c r="J25" s="40">
        <f t="shared" si="1"/>
        <v>0</v>
      </c>
      <c r="K25" s="86">
        <f t="shared" si="3"/>
        <v>20.2</v>
      </c>
      <c r="L25" s="39"/>
      <c r="M25" s="39"/>
      <c r="N25" s="39"/>
      <c r="O25" s="39"/>
      <c r="P25" s="39">
        <f t="shared" si="2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252</v>
      </c>
      <c r="E26" s="80">
        <f t="shared" si="0"/>
        <v>2.5232802643436466E-2</v>
      </c>
      <c r="F26" s="115"/>
      <c r="G26" s="51"/>
      <c r="H26" s="38" t="s">
        <v>14</v>
      </c>
      <c r="I26" s="39"/>
      <c r="J26" s="40">
        <f t="shared" si="1"/>
        <v>0</v>
      </c>
      <c r="K26" s="86">
        <f t="shared" si="3"/>
        <v>20.2</v>
      </c>
      <c r="L26" s="39"/>
      <c r="M26" s="39"/>
      <c r="N26" s="39"/>
      <c r="O26" s="39"/>
      <c r="P26" s="39">
        <f t="shared" si="2"/>
        <v>0</v>
      </c>
      <c r="Q26" s="84"/>
    </row>
    <row r="27" spans="2:17" s="1" customFormat="1" ht="20.25" customHeight="1" x14ac:dyDescent="0.3">
      <c r="B27" s="79" t="s">
        <v>51</v>
      </c>
      <c r="C27" s="16"/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f t="shared" si="1"/>
        <v>0</v>
      </c>
      <c r="K27" s="86">
        <f t="shared" si="3"/>
        <v>20.2</v>
      </c>
      <c r="L27" s="39"/>
      <c r="M27" s="39"/>
      <c r="N27" s="39"/>
      <c r="O27" s="39"/>
      <c r="P27" s="39">
        <f t="shared" si="2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f t="shared" si="1"/>
        <v>0</v>
      </c>
      <c r="K28" s="86">
        <f t="shared" si="3"/>
        <v>20.2</v>
      </c>
      <c r="L28" s="39"/>
      <c r="M28" s="39"/>
      <c r="N28" s="39"/>
      <c r="O28" s="39"/>
      <c r="P28" s="39">
        <f t="shared" si="2"/>
        <v>0</v>
      </c>
      <c r="Q28" s="84"/>
    </row>
    <row r="29" spans="2:17" s="1" customFormat="1" ht="20.25" customHeight="1" x14ac:dyDescent="0.3">
      <c r="B29" s="79" t="s">
        <v>106</v>
      </c>
      <c r="C29" s="16" t="s">
        <v>179</v>
      </c>
      <c r="D29" s="91">
        <v>84</v>
      </c>
      <c r="E29" s="80">
        <f t="shared" si="0"/>
        <v>8.410934214478822E-3</v>
      </c>
      <c r="F29" s="115"/>
      <c r="G29" s="51"/>
      <c r="H29" s="38" t="s">
        <v>14</v>
      </c>
      <c r="I29" s="39"/>
      <c r="J29" s="40">
        <f t="shared" si="1"/>
        <v>0</v>
      </c>
      <c r="K29" s="86">
        <f t="shared" si="3"/>
        <v>20.2</v>
      </c>
      <c r="L29" s="39"/>
      <c r="M29" s="39"/>
      <c r="N29" s="39"/>
      <c r="O29" s="39"/>
      <c r="P29" s="39">
        <f t="shared" si="2"/>
        <v>0</v>
      </c>
      <c r="Q29" s="84"/>
    </row>
    <row r="30" spans="2:17" s="1" customFormat="1" ht="20.25" customHeight="1" x14ac:dyDescent="0.3">
      <c r="B30" s="79" t="s">
        <v>52</v>
      </c>
      <c r="C30" s="16" t="s">
        <v>179</v>
      </c>
      <c r="D30" s="91">
        <v>84</v>
      </c>
      <c r="E30" s="80">
        <f t="shared" si="0"/>
        <v>8.410934214478822E-3</v>
      </c>
      <c r="F30" s="115"/>
      <c r="G30" s="51"/>
      <c r="H30" s="38" t="s">
        <v>14</v>
      </c>
      <c r="I30" s="39"/>
      <c r="J30" s="40">
        <f t="shared" si="1"/>
        <v>0</v>
      </c>
      <c r="K30" s="86">
        <f t="shared" si="3"/>
        <v>20.2</v>
      </c>
      <c r="L30" s="39"/>
      <c r="M30" s="39"/>
      <c r="N30" s="39"/>
      <c r="O30" s="39"/>
      <c r="P30" s="39">
        <f t="shared" si="2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/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>
        <f>SUM(I13:I30)</f>
        <v>35.200000000000003</v>
      </c>
      <c r="J34" s="36">
        <f>100%-K34</f>
        <v>0.42613636363636376</v>
      </c>
      <c r="K34" s="36">
        <f>K30/I34</f>
        <v>0.57386363636363624</v>
      </c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108</v>
      </c>
      <c r="E36" s="80">
        <f t="shared" si="0"/>
        <v>1.0814058275758487E-2</v>
      </c>
      <c r="F36" s="115"/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15</v>
      </c>
      <c r="K37" s="46">
        <f>J37/(J37+J38+J39)</f>
        <v>0.42613636363636359</v>
      </c>
      <c r="L37" s="111">
        <f>M37/J37</f>
        <v>0</v>
      </c>
      <c r="M37" s="96">
        <f>SUM(P15+P16)</f>
        <v>0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9987</v>
      </c>
      <c r="E38" s="82">
        <f>SUM(E15:E37)</f>
        <v>0.99999999999999978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0</v>
      </c>
      <c r="K38" s="46">
        <f>J38/(J38+J39+J37)</f>
        <v>0</v>
      </c>
      <c r="L38" s="111" t="e">
        <f>M38/J38</f>
        <v>#DIV/0!</v>
      </c>
      <c r="M38" s="96">
        <f>SUM(P18:P30)</f>
        <v>16.422599999999999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20.937106918238992</v>
      </c>
      <c r="G39" s="10" t="s">
        <v>41</v>
      </c>
      <c r="H39" s="54" t="s">
        <v>94</v>
      </c>
      <c r="I39" s="53" t="s">
        <v>97</v>
      </c>
      <c r="J39" s="55">
        <f>SUM(I18:I30)</f>
        <v>20.2</v>
      </c>
      <c r="K39" s="94">
        <f>J39/(J39+J38+J37)</f>
        <v>0.57386363636363624</v>
      </c>
      <c r="L39" s="111">
        <f>M39/J39</f>
        <v>0</v>
      </c>
      <c r="M39" s="96">
        <f>SUM(P19:P31)</f>
        <v>0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35.200000000000003</v>
      </c>
      <c r="K41" s="97">
        <f>SUM(K37:K40)</f>
        <v>0.99999999999999978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0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/>
      <c r="I44" s="45">
        <f>J39</f>
        <v>20.2</v>
      </c>
      <c r="J44" s="19"/>
      <c r="K44" s="88">
        <f>I44+J44</f>
        <v>20.2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20.2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20.2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20.2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20.2</v>
      </c>
      <c r="J48" s="35">
        <f>SUM(J44:J47)</f>
        <v>0</v>
      </c>
      <c r="K48" s="101">
        <f>K47</f>
        <v>20.2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4">K51+J52</f>
        <v>#REF!</v>
      </c>
      <c r="L52" s="95"/>
      <c r="M52" s="96" t="e">
        <f t="shared" ref="M52:M57" si="5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4"/>
        <v>#REF!</v>
      </c>
      <c r="L53" s="56"/>
      <c r="M53" s="96" t="e">
        <f t="shared" si="5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4"/>
        <v>#REF!</v>
      </c>
      <c r="L54" s="56"/>
      <c r="M54" s="96" t="e">
        <f t="shared" si="5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4"/>
        <v>#REF!</v>
      </c>
      <c r="L55" s="56"/>
      <c r="M55" s="96" t="e">
        <f t="shared" si="5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4"/>
        <v>#REF!</v>
      </c>
      <c r="L56" s="56"/>
      <c r="M56" s="96" t="e">
        <f t="shared" si="5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4"/>
        <v>#REF!</v>
      </c>
      <c r="L57" s="56"/>
      <c r="M57" s="96" t="e">
        <f t="shared" si="5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2C4D-0B4B-C642-8F5A-DA39C3B0CFE5}">
  <sheetPr>
    <pageSetUpPr fitToPage="1"/>
  </sheetPr>
  <dimension ref="B1:Q61"/>
  <sheetViews>
    <sheetView workbookViewId="0">
      <selection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165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166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45139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>
        <v>0.26041666666666669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139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600</v>
      </c>
      <c r="E9" s="30">
        <v>0.44</v>
      </c>
      <c r="F9" s="75">
        <f>D9*E9</f>
        <v>264</v>
      </c>
      <c r="G9" s="132">
        <f>D9/$D12</f>
        <v>1</v>
      </c>
      <c r="H9" s="27" t="s">
        <v>23</v>
      </c>
      <c r="I9" s="138" t="s">
        <v>177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0</v>
      </c>
      <c r="E10" s="30">
        <v>0</v>
      </c>
      <c r="F10" s="75"/>
      <c r="G10" s="132">
        <f>D10/D$12</f>
        <v>0</v>
      </c>
      <c r="H10" s="27" t="s">
        <v>46</v>
      </c>
      <c r="I10" s="138" t="s">
        <v>123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600</v>
      </c>
      <c r="E12" s="103">
        <f>F9/D12</f>
        <v>0.44</v>
      </c>
      <c r="F12" s="76">
        <f>D12*E12</f>
        <v>264</v>
      </c>
      <c r="G12" s="5"/>
      <c r="H12" s="29" t="s">
        <v>25</v>
      </c>
      <c r="I12" s="138"/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3750</v>
      </c>
      <c r="E15" s="80">
        <f>D15/D$38</f>
        <v>0.625</v>
      </c>
      <c r="F15" s="115"/>
      <c r="G15" s="51"/>
      <c r="H15" s="38" t="s">
        <v>27</v>
      </c>
      <c r="I15" s="39">
        <v>10</v>
      </c>
      <c r="J15" s="40">
        <v>0.81299999999999994</v>
      </c>
      <c r="K15" s="41">
        <v>400</v>
      </c>
      <c r="L15" s="39"/>
      <c r="M15" s="39"/>
      <c r="N15" s="39"/>
      <c r="O15" s="38"/>
      <c r="P15" s="39">
        <f>I15*L15/100</f>
        <v>0</v>
      </c>
      <c r="Q15" s="84" t="s">
        <v>178</v>
      </c>
    </row>
    <row r="16" spans="2:17" s="1" customFormat="1" ht="20.25" customHeight="1" outlineLevel="1" x14ac:dyDescent="0.3">
      <c r="B16" s="79" t="s">
        <v>167</v>
      </c>
      <c r="C16" s="16" t="s">
        <v>168</v>
      </c>
      <c r="D16" s="91">
        <v>600</v>
      </c>
      <c r="E16" s="80">
        <f t="shared" ref="E16:E36" si="0">D16/D$38</f>
        <v>0.1</v>
      </c>
      <c r="F16" s="115"/>
      <c r="G16" s="51"/>
      <c r="H16" s="38" t="s">
        <v>28</v>
      </c>
      <c r="I16" s="39"/>
      <c r="J16" s="40">
        <f t="shared" ref="J16:J30" si="1">I16/I$34</f>
        <v>0</v>
      </c>
      <c r="K16" s="41"/>
      <c r="L16" s="39"/>
      <c r="M16" s="39"/>
      <c r="N16" s="39"/>
      <c r="O16" s="38"/>
      <c r="P16" s="39">
        <f>I16*L16/100</f>
        <v>0</v>
      </c>
      <c r="Q16" s="84"/>
    </row>
    <row r="17" spans="2:17" s="1" customFormat="1" ht="20.25" customHeight="1" outlineLevel="1" x14ac:dyDescent="0.3">
      <c r="B17" s="79" t="s">
        <v>60</v>
      </c>
      <c r="C17" s="91">
        <v>100</v>
      </c>
      <c r="E17" s="80">
        <f>C17/D$38</f>
        <v>1.6666666666666666E-2</v>
      </c>
      <c r="F17" s="115"/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>
        <v>0.39583333333333331</v>
      </c>
      <c r="H18" s="38" t="s">
        <v>14</v>
      </c>
      <c r="I18" s="39">
        <v>145</v>
      </c>
      <c r="J18" s="40">
        <f t="shared" si="1"/>
        <v>0.93548387096774188</v>
      </c>
      <c r="K18" s="86">
        <f>I18</f>
        <v>145</v>
      </c>
      <c r="L18" s="39">
        <v>81.400000000000006</v>
      </c>
      <c r="M18" s="39">
        <v>30</v>
      </c>
      <c r="N18" s="39">
        <v>76.400000000000006</v>
      </c>
      <c r="O18" s="38">
        <v>32.6</v>
      </c>
      <c r="P18" s="39">
        <f t="shared" ref="P18:P30" si="2">I18*L18/100</f>
        <v>118.03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/>
      <c r="H19" s="38" t="s">
        <v>14</v>
      </c>
      <c r="I19" s="39"/>
      <c r="J19" s="40">
        <f t="shared" si="1"/>
        <v>0</v>
      </c>
      <c r="K19" s="86">
        <f>K18+I19</f>
        <v>145</v>
      </c>
      <c r="L19" s="39"/>
      <c r="M19" s="39"/>
      <c r="N19" s="39"/>
      <c r="O19" s="39"/>
      <c r="P19" s="39">
        <f t="shared" si="2"/>
        <v>0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100</v>
      </c>
      <c r="E20" s="80">
        <f t="shared" si="0"/>
        <v>1.6666666666666666E-2</v>
      </c>
      <c r="F20" s="115"/>
      <c r="G20" s="51"/>
      <c r="H20" s="38" t="s">
        <v>14</v>
      </c>
      <c r="I20" s="39"/>
      <c r="J20" s="40">
        <f t="shared" si="1"/>
        <v>0</v>
      </c>
      <c r="K20" s="86">
        <f t="shared" ref="K20:K30" si="3">K19+I20</f>
        <v>145</v>
      </c>
      <c r="L20" s="39"/>
      <c r="M20" s="39"/>
      <c r="N20" s="39"/>
      <c r="O20" s="39"/>
      <c r="P20" s="39">
        <f t="shared" si="2"/>
        <v>0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600</v>
      </c>
      <c r="E21" s="80">
        <f t="shared" si="0"/>
        <v>0.1</v>
      </c>
      <c r="F21" s="115"/>
      <c r="G21" s="51"/>
      <c r="H21" s="38" t="s">
        <v>14</v>
      </c>
      <c r="I21" s="39"/>
      <c r="J21" s="40">
        <f t="shared" si="1"/>
        <v>0</v>
      </c>
      <c r="K21" s="86">
        <f t="shared" si="3"/>
        <v>145</v>
      </c>
      <c r="L21" s="39"/>
      <c r="M21" s="39"/>
      <c r="N21" s="39"/>
      <c r="O21" s="39"/>
      <c r="P21" s="39">
        <f t="shared" si="2"/>
        <v>0</v>
      </c>
      <c r="Q21" s="84"/>
    </row>
    <row r="22" spans="2:17" s="1" customFormat="1" ht="20.25" customHeight="1" x14ac:dyDescent="0.3">
      <c r="B22" s="79" t="s">
        <v>115</v>
      </c>
      <c r="C22" s="16"/>
      <c r="D22" s="91"/>
      <c r="E22" s="80">
        <f t="shared" si="0"/>
        <v>0</v>
      </c>
      <c r="F22" s="115"/>
      <c r="G22" s="51"/>
      <c r="H22" s="38" t="s">
        <v>14</v>
      </c>
      <c r="I22" s="39"/>
      <c r="J22" s="40">
        <f t="shared" si="1"/>
        <v>0</v>
      </c>
      <c r="K22" s="86">
        <f t="shared" si="3"/>
        <v>145</v>
      </c>
      <c r="L22" s="39"/>
      <c r="M22" s="39"/>
      <c r="N22" s="39"/>
      <c r="O22" s="39"/>
      <c r="P22" s="39">
        <f t="shared" si="2"/>
        <v>0</v>
      </c>
      <c r="Q22" s="84"/>
    </row>
    <row r="23" spans="2:17" s="1" customFormat="1" ht="20.25" customHeight="1" x14ac:dyDescent="0.3">
      <c r="B23" s="79" t="s">
        <v>113</v>
      </c>
      <c r="C23" s="16"/>
      <c r="D23" s="91">
        <v>200</v>
      </c>
      <c r="E23" s="80">
        <f t="shared" si="0"/>
        <v>3.3333333333333333E-2</v>
      </c>
      <c r="F23" s="115"/>
      <c r="G23" s="51"/>
      <c r="H23" s="38" t="s">
        <v>14</v>
      </c>
      <c r="I23" s="39"/>
      <c r="J23" s="40">
        <f t="shared" si="1"/>
        <v>0</v>
      </c>
      <c r="K23" s="86">
        <f t="shared" si="3"/>
        <v>145</v>
      </c>
      <c r="L23" s="39"/>
      <c r="M23" s="39"/>
      <c r="N23" s="39"/>
      <c r="O23" s="39"/>
      <c r="P23" s="39">
        <f t="shared" si="2"/>
        <v>0</v>
      </c>
      <c r="Q23" s="84"/>
    </row>
    <row r="24" spans="2:17" s="1" customFormat="1" ht="20.25" customHeight="1" x14ac:dyDescent="0.3">
      <c r="B24" s="79" t="s">
        <v>114</v>
      </c>
      <c r="C24" s="16"/>
      <c r="D24" s="91"/>
      <c r="E24" s="80">
        <f t="shared" si="0"/>
        <v>0</v>
      </c>
      <c r="F24" s="115"/>
      <c r="G24" s="51"/>
      <c r="H24" s="38" t="s">
        <v>14</v>
      </c>
      <c r="I24" s="39"/>
      <c r="J24" s="40">
        <f t="shared" si="1"/>
        <v>0</v>
      </c>
      <c r="K24" s="86">
        <f t="shared" si="3"/>
        <v>145</v>
      </c>
      <c r="L24" s="39"/>
      <c r="M24" s="39"/>
      <c r="N24" s="39"/>
      <c r="O24" s="39"/>
      <c r="P24" s="39">
        <f t="shared" si="2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/>
      <c r="E25" s="80">
        <f t="shared" si="0"/>
        <v>0</v>
      </c>
      <c r="F25" s="115"/>
      <c r="G25" s="51"/>
      <c r="H25" s="38" t="s">
        <v>14</v>
      </c>
      <c r="I25" s="39"/>
      <c r="J25" s="40">
        <f t="shared" si="1"/>
        <v>0</v>
      </c>
      <c r="K25" s="86">
        <f t="shared" si="3"/>
        <v>145</v>
      </c>
      <c r="L25" s="39"/>
      <c r="M25" s="39"/>
      <c r="N25" s="39"/>
      <c r="O25" s="39"/>
      <c r="P25" s="39">
        <f t="shared" si="2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700</v>
      </c>
      <c r="E26" s="80">
        <f t="shared" si="0"/>
        <v>0.11666666666666667</v>
      </c>
      <c r="F26" s="115"/>
      <c r="G26" s="51"/>
      <c r="H26" s="38" t="s">
        <v>14</v>
      </c>
      <c r="I26" s="39"/>
      <c r="J26" s="40">
        <f t="shared" si="1"/>
        <v>0</v>
      </c>
      <c r="K26" s="86">
        <f t="shared" si="3"/>
        <v>145</v>
      </c>
      <c r="L26" s="39"/>
      <c r="M26" s="39"/>
      <c r="N26" s="39"/>
      <c r="O26" s="39"/>
      <c r="P26" s="39">
        <f t="shared" si="2"/>
        <v>0</v>
      </c>
      <c r="Q26" s="84"/>
    </row>
    <row r="27" spans="2:17" s="1" customFormat="1" ht="20.25" customHeight="1" x14ac:dyDescent="0.3">
      <c r="B27" s="79" t="s">
        <v>51</v>
      </c>
      <c r="C27" s="16"/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f t="shared" si="1"/>
        <v>0</v>
      </c>
      <c r="K27" s="86">
        <f t="shared" si="3"/>
        <v>145</v>
      </c>
      <c r="L27" s="39"/>
      <c r="M27" s="39"/>
      <c r="N27" s="39"/>
      <c r="O27" s="39"/>
      <c r="P27" s="39">
        <f t="shared" si="2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f t="shared" si="1"/>
        <v>0</v>
      </c>
      <c r="K28" s="86">
        <f t="shared" si="3"/>
        <v>145</v>
      </c>
      <c r="L28" s="39"/>
      <c r="M28" s="39"/>
      <c r="N28" s="39"/>
      <c r="O28" s="39"/>
      <c r="P28" s="39">
        <f t="shared" si="2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/>
      <c r="E29" s="80">
        <f t="shared" si="0"/>
        <v>0</v>
      </c>
      <c r="F29" s="115"/>
      <c r="G29" s="51"/>
      <c r="H29" s="38" t="s">
        <v>14</v>
      </c>
      <c r="I29" s="39"/>
      <c r="J29" s="40">
        <f t="shared" si="1"/>
        <v>0</v>
      </c>
      <c r="K29" s="86">
        <f t="shared" si="3"/>
        <v>145</v>
      </c>
      <c r="L29" s="39"/>
      <c r="M29" s="39"/>
      <c r="N29" s="39"/>
      <c r="O29" s="39"/>
      <c r="P29" s="39">
        <f t="shared" si="2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50</v>
      </c>
      <c r="E30" s="80">
        <f t="shared" si="0"/>
        <v>8.3333333333333332E-3</v>
      </c>
      <c r="F30" s="115"/>
      <c r="G30" s="51"/>
      <c r="H30" s="38" t="s">
        <v>14</v>
      </c>
      <c r="I30" s="39"/>
      <c r="J30" s="40">
        <f t="shared" si="1"/>
        <v>0</v>
      </c>
      <c r="K30" s="86">
        <f t="shared" si="3"/>
        <v>145</v>
      </c>
      <c r="L30" s="39"/>
      <c r="M30" s="39"/>
      <c r="N30" s="39"/>
      <c r="O30" s="39"/>
      <c r="P30" s="39">
        <f t="shared" si="2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/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>
        <f>SUM(I13:I30)</f>
        <v>155</v>
      </c>
      <c r="J34" s="36">
        <f>100%-K34</f>
        <v>6.4516129032258118E-2</v>
      </c>
      <c r="K34" s="36">
        <f>K30/I34</f>
        <v>0.93548387096774188</v>
      </c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/>
      <c r="E36" s="80">
        <f t="shared" si="0"/>
        <v>0</v>
      </c>
      <c r="F36" s="115"/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D37" s="16"/>
      <c r="E37" s="80" t="e">
        <f>#REF!/D$38</f>
        <v>#REF!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10</v>
      </c>
      <c r="K37" s="46">
        <f>J37/(J37+J38+J39)</f>
        <v>6.4516129032258063E-2</v>
      </c>
      <c r="L37" s="111">
        <f>M37/J37</f>
        <v>0</v>
      </c>
      <c r="M37" s="96">
        <f>SUM(P15+P16)</f>
        <v>0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6000</v>
      </c>
      <c r="E38" s="82" t="e">
        <f>SUM(E15:E37)</f>
        <v>#REF!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0</v>
      </c>
      <c r="K38" s="46">
        <f>J38/(J38+J39+J37)</f>
        <v>0</v>
      </c>
      <c r="L38" s="111" t="e">
        <f>M38/J38</f>
        <v>#DIV/0!</v>
      </c>
      <c r="M38" s="96">
        <f>SUM(P18:P30)</f>
        <v>118.03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22.727272727272727</v>
      </c>
      <c r="G39" s="10" t="s">
        <v>41</v>
      </c>
      <c r="H39" s="54" t="s">
        <v>94</v>
      </c>
      <c r="I39" s="53" t="s">
        <v>97</v>
      </c>
      <c r="J39" s="55">
        <f>SUM(I18:I30)</f>
        <v>145</v>
      </c>
      <c r="K39" s="94">
        <f>J39/(J39+J38+J37)</f>
        <v>0.93548387096774188</v>
      </c>
      <c r="L39" s="111">
        <f>M39/J39</f>
        <v>0</v>
      </c>
      <c r="M39" s="96">
        <f>SUM(P19:P31)</f>
        <v>0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B41" s="1" t="s">
        <v>169</v>
      </c>
      <c r="C41" s="1" t="s">
        <v>170</v>
      </c>
      <c r="G41" s="11"/>
      <c r="H41" s="93" t="s">
        <v>17</v>
      </c>
      <c r="I41" s="93"/>
      <c r="J41" s="35">
        <f>SUM(J37:J40)</f>
        <v>155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B42" s="1" t="s">
        <v>171</v>
      </c>
      <c r="C42" s="1" t="s">
        <v>172</v>
      </c>
      <c r="G42" s="3"/>
      <c r="H42" s="6"/>
      <c r="L42" s="97"/>
      <c r="M42" s="98">
        <f>SUM(M39:M41)</f>
        <v>0</v>
      </c>
      <c r="N42" s="5"/>
      <c r="O42" s="5"/>
    </row>
    <row r="43" spans="2:17" s="1" customFormat="1" ht="28.8" x14ac:dyDescent="0.3">
      <c r="B43" s="1" t="s">
        <v>173</v>
      </c>
      <c r="C43" s="1" t="s">
        <v>174</v>
      </c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B44" s="1" t="s">
        <v>175</v>
      </c>
      <c r="C44" s="1" t="s">
        <v>176</v>
      </c>
      <c r="E44" s="3"/>
      <c r="F44" s="6"/>
      <c r="G44" s="10" t="s">
        <v>69</v>
      </c>
      <c r="H44" s="102"/>
      <c r="I44" s="45">
        <f>J39</f>
        <v>145</v>
      </c>
      <c r="J44" s="19"/>
      <c r="K44" s="88">
        <f>I44+J44</f>
        <v>145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145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145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145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145</v>
      </c>
      <c r="J48" s="35">
        <f>SUM(J44:J47)</f>
        <v>0</v>
      </c>
      <c r="K48" s="101">
        <f>K47</f>
        <v>145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4">K51+J52</f>
        <v>#REF!</v>
      </c>
      <c r="L52" s="95"/>
      <c r="M52" s="96" t="e">
        <f t="shared" ref="M52:M57" si="5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4"/>
        <v>#REF!</v>
      </c>
      <c r="L53" s="56"/>
      <c r="M53" s="96" t="e">
        <f t="shared" si="5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4"/>
        <v>#REF!</v>
      </c>
      <c r="L54" s="56"/>
      <c r="M54" s="96" t="e">
        <f t="shared" si="5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4"/>
        <v>#REF!</v>
      </c>
      <c r="L55" s="56"/>
      <c r="M55" s="96" t="e">
        <f t="shared" si="5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4"/>
        <v>#REF!</v>
      </c>
      <c r="L56" s="56"/>
      <c r="M56" s="96" t="e">
        <f t="shared" si="5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4"/>
        <v>#REF!</v>
      </c>
      <c r="L57" s="56"/>
      <c r="M57" s="96" t="e">
        <f t="shared" si="5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11E3-D22B-4312-9F89-F7DB2056F602}">
  <sheetPr>
    <pageSetUpPr fitToPage="1"/>
  </sheetPr>
  <dimension ref="B1:Q61"/>
  <sheetViews>
    <sheetView workbookViewId="0">
      <selection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155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103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45371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>
        <v>0.25694444444444448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139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1000</v>
      </c>
      <c r="E9" s="30">
        <v>0.5</v>
      </c>
      <c r="F9" s="75">
        <f>D9*E9</f>
        <v>500</v>
      </c>
      <c r="G9" s="132">
        <f>D9/$D12</f>
        <v>1</v>
      </c>
      <c r="H9" s="27" t="s">
        <v>23</v>
      </c>
      <c r="I9" s="138" t="s">
        <v>158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0</v>
      </c>
      <c r="E10" s="30">
        <v>0</v>
      </c>
      <c r="F10" s="75"/>
      <c r="G10" s="132">
        <f>D10/D$12</f>
        <v>0</v>
      </c>
      <c r="H10" s="27" t="s">
        <v>46</v>
      </c>
      <c r="I10" s="138" t="s">
        <v>159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1000</v>
      </c>
      <c r="E12" s="103">
        <f>F9/D12</f>
        <v>0.5</v>
      </c>
      <c r="F12" s="76">
        <f>D12*E12</f>
        <v>500</v>
      </c>
      <c r="G12" s="5"/>
      <c r="H12" s="29" t="s">
        <v>25</v>
      </c>
      <c r="I12" s="138"/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6250</v>
      </c>
      <c r="E15" s="80">
        <f>D15/D$38</f>
        <v>0.62581355762491242</v>
      </c>
      <c r="F15" s="115" t="s">
        <v>180</v>
      </c>
      <c r="G15" s="51">
        <v>0.34027777777777773</v>
      </c>
      <c r="H15" s="38" t="s">
        <v>27</v>
      </c>
      <c r="I15" s="39">
        <v>2.5</v>
      </c>
      <c r="J15" s="40">
        <v>0</v>
      </c>
      <c r="K15" s="41"/>
      <c r="L15" s="39">
        <v>87</v>
      </c>
      <c r="M15" s="39">
        <v>28</v>
      </c>
      <c r="N15" s="39"/>
      <c r="O15" s="38"/>
      <c r="P15" s="39">
        <f>I15*L15/100</f>
        <v>2.1749999999999998</v>
      </c>
      <c r="Q15" s="84"/>
    </row>
    <row r="16" spans="2:17" s="1" customFormat="1" ht="20.25" customHeight="1" outlineLevel="1" x14ac:dyDescent="0.3">
      <c r="B16" s="79" t="s">
        <v>104</v>
      </c>
      <c r="C16" s="16" t="s">
        <v>105</v>
      </c>
      <c r="D16" s="91">
        <v>625</v>
      </c>
      <c r="E16" s="80">
        <f t="shared" ref="E16:E37" si="0">D16/D$38</f>
        <v>6.2581355762491242E-2</v>
      </c>
      <c r="F16" s="115"/>
      <c r="G16" s="51">
        <v>0.34722222222222227</v>
      </c>
      <c r="H16" s="38" t="s">
        <v>28</v>
      </c>
      <c r="I16" s="39">
        <v>10</v>
      </c>
      <c r="J16" s="40">
        <v>0</v>
      </c>
      <c r="K16" s="41"/>
      <c r="L16" s="39">
        <v>83</v>
      </c>
      <c r="M16" s="39">
        <v>31</v>
      </c>
      <c r="N16" s="39"/>
      <c r="O16" s="38"/>
      <c r="P16" s="39">
        <f>I16*L16/100</f>
        <v>8.3000000000000007</v>
      </c>
      <c r="Q16" s="84"/>
    </row>
    <row r="17" spans="2:17" s="1" customFormat="1" ht="20.25" customHeight="1" outlineLevel="1" x14ac:dyDescent="0.3">
      <c r="B17" s="79" t="s">
        <v>60</v>
      </c>
      <c r="C17" s="16"/>
      <c r="D17" s="91">
        <v>168</v>
      </c>
      <c r="E17" s="80">
        <f t="shared" si="0"/>
        <v>1.6821868428957644E-2</v>
      </c>
      <c r="F17" s="115" t="s">
        <v>180</v>
      </c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>
        <v>0.3888888888888889</v>
      </c>
      <c r="H18" s="38" t="s">
        <v>14</v>
      </c>
      <c r="I18" s="39">
        <v>42</v>
      </c>
      <c r="J18" s="40">
        <v>0</v>
      </c>
      <c r="K18" s="86">
        <f>I18</f>
        <v>42</v>
      </c>
      <c r="L18" s="39">
        <v>82.8</v>
      </c>
      <c r="M18" s="39"/>
      <c r="N18" s="39"/>
      <c r="O18" s="38"/>
      <c r="P18" s="39">
        <f t="shared" ref="P18:P30" si="1">I18*L18/100</f>
        <v>34.775999999999996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>
        <v>0.43055555555555558</v>
      </c>
      <c r="H19" s="38" t="s">
        <v>14</v>
      </c>
      <c r="I19" s="39">
        <v>77</v>
      </c>
      <c r="J19" s="40">
        <v>0</v>
      </c>
      <c r="K19" s="86">
        <f>K18+I19</f>
        <v>119</v>
      </c>
      <c r="L19" s="39">
        <v>82.5</v>
      </c>
      <c r="M19" s="39"/>
      <c r="N19" s="39"/>
      <c r="O19" s="39"/>
      <c r="P19" s="39">
        <f t="shared" si="1"/>
        <v>63.524999999999999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252</v>
      </c>
      <c r="E20" s="80">
        <f t="shared" si="0"/>
        <v>2.5232802643436466E-2</v>
      </c>
      <c r="F20" s="115"/>
      <c r="G20" s="51">
        <v>0.47222222222222227</v>
      </c>
      <c r="H20" s="38" t="s">
        <v>14</v>
      </c>
      <c r="I20" s="39">
        <v>111</v>
      </c>
      <c r="J20" s="40">
        <v>0</v>
      </c>
      <c r="K20" s="86">
        <f t="shared" ref="K20:K30" si="2">K19+I20</f>
        <v>230</v>
      </c>
      <c r="L20" s="39">
        <v>82.4</v>
      </c>
      <c r="M20" s="39"/>
      <c r="N20" s="39"/>
      <c r="O20" s="39"/>
      <c r="P20" s="39">
        <f t="shared" si="1"/>
        <v>91.464000000000013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168</v>
      </c>
      <c r="E21" s="80">
        <f t="shared" si="0"/>
        <v>1.6821868428957644E-2</v>
      </c>
      <c r="F21" s="115"/>
      <c r="G21" s="51">
        <v>0.51388888888888895</v>
      </c>
      <c r="H21" s="38" t="s">
        <v>14</v>
      </c>
      <c r="I21" s="39">
        <v>143</v>
      </c>
      <c r="J21" s="40">
        <v>0</v>
      </c>
      <c r="K21" s="86">
        <f t="shared" si="2"/>
        <v>373</v>
      </c>
      <c r="L21" s="39">
        <v>82.4</v>
      </c>
      <c r="M21" s="39"/>
      <c r="N21" s="39"/>
      <c r="O21" s="39"/>
      <c r="P21" s="39">
        <f t="shared" si="1"/>
        <v>117.83200000000001</v>
      </c>
      <c r="Q21" s="84"/>
    </row>
    <row r="22" spans="2:17" s="1" customFormat="1" ht="20.25" customHeight="1" x14ac:dyDescent="0.3">
      <c r="B22" s="79" t="s">
        <v>115</v>
      </c>
      <c r="C22" s="16"/>
      <c r="D22" s="91">
        <v>832</v>
      </c>
      <c r="E22" s="80">
        <f t="shared" si="0"/>
        <v>8.3308300791028342E-2</v>
      </c>
      <c r="F22" s="115"/>
      <c r="G22" s="51">
        <v>0.55555555555555558</v>
      </c>
      <c r="H22" s="38" t="s">
        <v>14</v>
      </c>
      <c r="I22" s="39">
        <v>176</v>
      </c>
      <c r="J22" s="40">
        <v>0</v>
      </c>
      <c r="K22" s="86">
        <f t="shared" si="2"/>
        <v>549</v>
      </c>
      <c r="L22" s="39">
        <v>82.1</v>
      </c>
      <c r="M22" s="39"/>
      <c r="N22" s="39"/>
      <c r="O22" s="39"/>
      <c r="P22" s="39">
        <f t="shared" si="1"/>
        <v>144.49599999999998</v>
      </c>
      <c r="Q22" s="84"/>
    </row>
    <row r="23" spans="2:17" s="1" customFormat="1" ht="20.25" customHeight="1" x14ac:dyDescent="0.3">
      <c r="B23" s="79" t="s">
        <v>113</v>
      </c>
      <c r="C23" s="16"/>
      <c r="D23" s="91">
        <v>500</v>
      </c>
      <c r="E23" s="80">
        <f t="shared" si="0"/>
        <v>5.0065084609992989E-2</v>
      </c>
      <c r="F23" s="115"/>
      <c r="G23" s="51">
        <v>0.59722222222222221</v>
      </c>
      <c r="H23" s="38" t="s">
        <v>14</v>
      </c>
      <c r="I23" s="39">
        <v>211</v>
      </c>
      <c r="J23" s="40">
        <v>0</v>
      </c>
      <c r="K23" s="86">
        <f t="shared" si="2"/>
        <v>760</v>
      </c>
      <c r="L23" s="39">
        <v>81.900000000000006</v>
      </c>
      <c r="M23" s="39"/>
      <c r="N23" s="39"/>
      <c r="O23" s="39"/>
      <c r="P23" s="39">
        <f t="shared" si="1"/>
        <v>172.80900000000003</v>
      </c>
      <c r="Q23" s="84"/>
    </row>
    <row r="24" spans="2:17" s="1" customFormat="1" ht="20.25" customHeight="1" x14ac:dyDescent="0.3">
      <c r="B24" s="79" t="s">
        <v>114</v>
      </c>
      <c r="C24" s="16"/>
      <c r="D24" s="91">
        <v>332</v>
      </c>
      <c r="E24" s="80">
        <f t="shared" si="0"/>
        <v>3.3243216181035345E-2</v>
      </c>
      <c r="F24" s="115"/>
      <c r="G24" s="51">
        <v>0.63888888888888895</v>
      </c>
      <c r="H24" s="38" t="s">
        <v>14</v>
      </c>
      <c r="I24" s="39">
        <v>244</v>
      </c>
      <c r="J24" s="40">
        <v>0</v>
      </c>
      <c r="K24" s="86">
        <f t="shared" si="2"/>
        <v>1004</v>
      </c>
      <c r="L24" s="39">
        <v>81.400000000000006</v>
      </c>
      <c r="M24" s="39"/>
      <c r="N24" s="39"/>
      <c r="O24" s="39"/>
      <c r="P24" s="39">
        <f t="shared" si="1"/>
        <v>198.61600000000001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332</v>
      </c>
      <c r="E25" s="80">
        <f t="shared" si="0"/>
        <v>3.3243216181035345E-2</v>
      </c>
      <c r="F25" s="115"/>
      <c r="G25" s="51">
        <v>0.14930555555555555</v>
      </c>
      <c r="H25" s="38" t="s">
        <v>14</v>
      </c>
      <c r="I25" s="39">
        <v>251</v>
      </c>
      <c r="J25" s="40">
        <v>0</v>
      </c>
      <c r="K25" s="86">
        <f t="shared" si="2"/>
        <v>1255</v>
      </c>
      <c r="L25" s="39">
        <v>81.3</v>
      </c>
      <c r="M25" s="39"/>
      <c r="N25" s="39"/>
      <c r="O25" s="39"/>
      <c r="P25" s="39">
        <f t="shared" si="1"/>
        <v>204.06299999999999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252</v>
      </c>
      <c r="E26" s="80">
        <f t="shared" si="0"/>
        <v>2.5232802643436466E-2</v>
      </c>
      <c r="F26" s="115"/>
      <c r="G26" s="51"/>
      <c r="H26" s="38" t="s">
        <v>14</v>
      </c>
      <c r="I26" s="39"/>
      <c r="J26" s="40">
        <v>0</v>
      </c>
      <c r="K26" s="86">
        <f t="shared" si="2"/>
        <v>1255</v>
      </c>
      <c r="L26" s="39"/>
      <c r="M26" s="39"/>
      <c r="N26" s="39"/>
      <c r="O26" s="39"/>
      <c r="P26" s="39">
        <f t="shared" si="1"/>
        <v>0</v>
      </c>
      <c r="Q26" s="84"/>
    </row>
    <row r="27" spans="2:17" s="1" customFormat="1" ht="20.25" customHeight="1" x14ac:dyDescent="0.3">
      <c r="B27" s="79" t="s">
        <v>51</v>
      </c>
      <c r="C27" s="16"/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v>0</v>
      </c>
      <c r="K27" s="86">
        <f t="shared" si="2"/>
        <v>1255</v>
      </c>
      <c r="L27" s="39"/>
      <c r="M27" s="39"/>
      <c r="N27" s="39"/>
      <c r="O27" s="39"/>
      <c r="P27" s="39">
        <f t="shared" si="1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v>0</v>
      </c>
      <c r="K28" s="86">
        <f t="shared" si="2"/>
        <v>1255</v>
      </c>
      <c r="L28" s="39"/>
      <c r="M28" s="39"/>
      <c r="N28" s="39"/>
      <c r="O28" s="39"/>
      <c r="P28" s="39">
        <f t="shared" si="1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>
        <v>84</v>
      </c>
      <c r="E29" s="80">
        <f t="shared" si="0"/>
        <v>8.410934214478822E-3</v>
      </c>
      <c r="F29" s="115" t="s">
        <v>180</v>
      </c>
      <c r="G29" s="51"/>
      <c r="H29" s="38" t="s">
        <v>14</v>
      </c>
      <c r="I29" s="39"/>
      <c r="J29" s="40">
        <v>0</v>
      </c>
      <c r="K29" s="86">
        <f t="shared" si="2"/>
        <v>1255</v>
      </c>
      <c r="L29" s="39"/>
      <c r="M29" s="39"/>
      <c r="N29" s="39"/>
      <c r="O29" s="39"/>
      <c r="P29" s="39">
        <f t="shared" si="1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84</v>
      </c>
      <c r="E30" s="80">
        <f t="shared" si="0"/>
        <v>8.410934214478822E-3</v>
      </c>
      <c r="F30" s="115" t="s">
        <v>180</v>
      </c>
      <c r="G30" s="51"/>
      <c r="H30" s="38" t="s">
        <v>14</v>
      </c>
      <c r="I30" s="39"/>
      <c r="J30" s="40">
        <v>0</v>
      </c>
      <c r="K30" s="86">
        <f t="shared" si="2"/>
        <v>1255</v>
      </c>
      <c r="L30" s="39"/>
      <c r="M30" s="39"/>
      <c r="N30" s="39"/>
      <c r="O30" s="39"/>
      <c r="P30" s="39">
        <f t="shared" si="1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 t="s">
        <v>138</v>
      </c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/>
      <c r="J34" s="36"/>
      <c r="K34" s="36"/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108</v>
      </c>
      <c r="E36" s="80">
        <f t="shared" si="0"/>
        <v>1.0814058275758487E-2</v>
      </c>
      <c r="F36" s="115"/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2.5</v>
      </c>
      <c r="K37" s="46">
        <f>J37/(J37+J38+J39)</f>
        <v>9.7924010967489223E-3</v>
      </c>
      <c r="L37" s="111">
        <f>M37/J37</f>
        <v>4.1900000000000004</v>
      </c>
      <c r="M37" s="96">
        <f>SUM(P15+P16)</f>
        <v>10.475000000000001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9987</v>
      </c>
      <c r="E38" s="82">
        <f>SUM(E15:E37)</f>
        <v>0.99999999999999978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10</v>
      </c>
      <c r="K38" s="46">
        <f>J38/(J38+J39+J37)</f>
        <v>3.9169604386995689E-2</v>
      </c>
      <c r="L38" s="111">
        <f>M38/J38</f>
        <v>102.75810000000001</v>
      </c>
      <c r="M38" s="96">
        <f>SUM(P18:P30)</f>
        <v>1027.5810000000001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19.974</v>
      </c>
      <c r="G39" s="10" t="s">
        <v>41</v>
      </c>
      <c r="H39" s="54" t="s">
        <v>164</v>
      </c>
      <c r="I39" s="53" t="s">
        <v>160</v>
      </c>
      <c r="J39" s="55">
        <v>242.8</v>
      </c>
      <c r="K39" s="94">
        <f>J39/(J39+J38+J37)</f>
        <v>0.95103799451625537</v>
      </c>
      <c r="L39" s="111">
        <f>M39/J39</f>
        <v>4.0889827018121911</v>
      </c>
      <c r="M39" s="96">
        <f>SUM(P19:P31)</f>
        <v>992.80499999999995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255.3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992.80499999999995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/>
      <c r="I44" s="45">
        <f>J39</f>
        <v>242.8</v>
      </c>
      <c r="J44" s="19"/>
      <c r="K44" s="88">
        <f>I44+J44</f>
        <v>242.8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242.8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242.8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242.8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242.8</v>
      </c>
      <c r="J48" s="35">
        <f>SUM(J44:J47)</f>
        <v>0</v>
      </c>
      <c r="K48" s="101">
        <f>K47</f>
        <v>242.8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3">K51+J52</f>
        <v>#REF!</v>
      </c>
      <c r="L52" s="95"/>
      <c r="M52" s="96" t="e">
        <f t="shared" ref="M52:M57" si="4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3"/>
        <v>#REF!</v>
      </c>
      <c r="L53" s="56"/>
      <c r="M53" s="96" t="e">
        <f t="shared" si="4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3"/>
        <v>#REF!</v>
      </c>
      <c r="L54" s="56"/>
      <c r="M54" s="96" t="e">
        <f t="shared" si="4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3"/>
        <v>#REF!</v>
      </c>
      <c r="L55" s="56"/>
      <c r="M55" s="96" t="e">
        <f t="shared" si="4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3"/>
        <v>#REF!</v>
      </c>
      <c r="L56" s="56"/>
      <c r="M56" s="96" t="e">
        <f t="shared" si="4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3"/>
        <v>#REF!</v>
      </c>
      <c r="L57" s="56"/>
      <c r="M57" s="96" t="e">
        <f t="shared" si="4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66F9-FD42-445A-9A07-45761C69CC8F}">
  <sheetPr>
    <pageSetUpPr fitToPage="1"/>
  </sheetPr>
  <dimension ref="B1:Q61"/>
  <sheetViews>
    <sheetView workbookViewId="0">
      <selection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195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196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45425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>
        <v>0.25694444444444448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183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500</v>
      </c>
      <c r="E9" s="30">
        <v>0.5</v>
      </c>
      <c r="F9" s="75">
        <f>D9*E9</f>
        <v>250</v>
      </c>
      <c r="G9" s="132">
        <f>D9/$D12</f>
        <v>0.5</v>
      </c>
      <c r="H9" s="27" t="s">
        <v>23</v>
      </c>
      <c r="I9" s="138" t="s">
        <v>197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500</v>
      </c>
      <c r="E10" s="30">
        <v>0</v>
      </c>
      <c r="F10" s="75"/>
      <c r="G10" s="132">
        <f>D10/D$12</f>
        <v>0.5</v>
      </c>
      <c r="H10" s="27" t="s">
        <v>46</v>
      </c>
      <c r="I10" s="138" t="s">
        <v>198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1000</v>
      </c>
      <c r="E12" s="103">
        <f>F9/D12</f>
        <v>0.25</v>
      </c>
      <c r="F12" s="76">
        <f>D12*E12</f>
        <v>250</v>
      </c>
      <c r="G12" s="5"/>
      <c r="H12" s="29" t="s">
        <v>25</v>
      </c>
      <c r="I12" s="138"/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6250</v>
      </c>
      <c r="E15" s="80">
        <f>D15/D$38</f>
        <v>0.62581355762491242</v>
      </c>
      <c r="F15" s="115" t="s">
        <v>180</v>
      </c>
      <c r="G15" s="51">
        <v>0.3888888888888889</v>
      </c>
      <c r="H15" s="38" t="s">
        <v>27</v>
      </c>
      <c r="I15" s="39">
        <v>2.5</v>
      </c>
      <c r="J15" s="40">
        <v>0</v>
      </c>
      <c r="K15" s="41"/>
      <c r="L15" s="39">
        <v>86</v>
      </c>
      <c r="M15" s="39">
        <v>28</v>
      </c>
      <c r="N15" s="39"/>
      <c r="O15" s="38"/>
      <c r="P15" s="39">
        <f>I15*L15/100</f>
        <v>2.15</v>
      </c>
      <c r="Q15" s="84" t="s">
        <v>199</v>
      </c>
    </row>
    <row r="16" spans="2:17" s="1" customFormat="1" ht="20.25" customHeight="1" outlineLevel="1" x14ac:dyDescent="0.3">
      <c r="B16" s="79" t="s">
        <v>104</v>
      </c>
      <c r="C16" s="16" t="s">
        <v>105</v>
      </c>
      <c r="D16" s="91">
        <v>625</v>
      </c>
      <c r="E16" s="80">
        <f t="shared" ref="E16:E37" si="0">D16/D$38</f>
        <v>6.2581355762491242E-2</v>
      </c>
      <c r="F16" s="115"/>
      <c r="G16" s="51">
        <v>0.40277777777777779</v>
      </c>
      <c r="H16" s="38" t="s">
        <v>28</v>
      </c>
      <c r="I16" s="39">
        <v>10</v>
      </c>
      <c r="J16" s="40">
        <v>0</v>
      </c>
      <c r="K16" s="41"/>
      <c r="L16" s="39">
        <v>82</v>
      </c>
      <c r="M16" s="39">
        <v>31</v>
      </c>
      <c r="N16" s="39"/>
      <c r="O16" s="38"/>
      <c r="P16" s="39">
        <f>I16*L16/100</f>
        <v>8.1999999999999993</v>
      </c>
      <c r="Q16" s="84" t="s">
        <v>200</v>
      </c>
    </row>
    <row r="17" spans="2:17" s="1" customFormat="1" ht="20.25" customHeight="1" outlineLevel="1" x14ac:dyDescent="0.3">
      <c r="B17" s="79" t="s">
        <v>60</v>
      </c>
      <c r="C17" s="16"/>
      <c r="D17" s="91">
        <v>168</v>
      </c>
      <c r="E17" s="80">
        <f t="shared" si="0"/>
        <v>1.6821868428957644E-2</v>
      </c>
      <c r="F17" s="115" t="s">
        <v>180</v>
      </c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>
        <v>0.66666666666666663</v>
      </c>
      <c r="H18" s="38" t="s">
        <v>14</v>
      </c>
      <c r="I18" s="39">
        <v>236</v>
      </c>
      <c r="J18" s="40"/>
      <c r="K18" s="86"/>
      <c r="L18" s="39">
        <v>80.900000000000006</v>
      </c>
      <c r="M18" s="39"/>
      <c r="N18" s="39"/>
      <c r="O18" s="38"/>
      <c r="P18" s="39">
        <f t="shared" ref="P18:P30" si="1">I18*L18/100</f>
        <v>190.92400000000001</v>
      </c>
      <c r="Q18" s="84" t="s">
        <v>201</v>
      </c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/>
      <c r="H19" s="38" t="s">
        <v>14</v>
      </c>
      <c r="I19" s="39" t="s">
        <v>202</v>
      </c>
      <c r="J19" s="40"/>
      <c r="K19" s="86"/>
      <c r="L19" s="39"/>
      <c r="M19" s="39"/>
      <c r="N19" s="39"/>
      <c r="O19" s="39"/>
      <c r="P19" s="39" t="e">
        <f t="shared" si="1"/>
        <v>#VALUE!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252</v>
      </c>
      <c r="E20" s="80">
        <f t="shared" si="0"/>
        <v>2.5232802643436466E-2</v>
      </c>
      <c r="F20" s="115"/>
      <c r="G20" s="51"/>
      <c r="H20" s="38"/>
      <c r="I20" s="39"/>
      <c r="J20" s="40"/>
      <c r="K20" s="86"/>
      <c r="L20" s="39"/>
      <c r="M20" s="39"/>
      <c r="N20" s="39"/>
      <c r="O20" s="39"/>
      <c r="P20" s="39">
        <f t="shared" si="1"/>
        <v>0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168</v>
      </c>
      <c r="E21" s="80">
        <f t="shared" si="0"/>
        <v>1.6821868428957644E-2</v>
      </c>
      <c r="F21" s="115"/>
      <c r="G21" s="51"/>
      <c r="H21" s="38"/>
      <c r="I21" s="39"/>
      <c r="J21" s="40"/>
      <c r="K21" s="86"/>
      <c r="L21" s="39"/>
      <c r="M21" s="39"/>
      <c r="N21" s="39"/>
      <c r="O21" s="39"/>
      <c r="P21" s="39">
        <f t="shared" si="1"/>
        <v>0</v>
      </c>
      <c r="Q21" s="84"/>
    </row>
    <row r="22" spans="2:17" s="1" customFormat="1" ht="20.25" customHeight="1" x14ac:dyDescent="0.3">
      <c r="B22" s="79" t="s">
        <v>115</v>
      </c>
      <c r="C22" s="16"/>
      <c r="D22" s="91">
        <v>832</v>
      </c>
      <c r="E22" s="80">
        <f t="shared" si="0"/>
        <v>8.3308300791028342E-2</v>
      </c>
      <c r="F22" s="115"/>
      <c r="G22" s="51">
        <v>0.29166666666666669</v>
      </c>
      <c r="H22" s="38" t="s">
        <v>15</v>
      </c>
      <c r="I22" s="39" t="s">
        <v>203</v>
      </c>
      <c r="J22" s="40"/>
      <c r="K22" s="86"/>
      <c r="L22" s="39"/>
      <c r="M22" s="39"/>
      <c r="N22" s="39"/>
      <c r="O22" s="39"/>
      <c r="P22" s="39" t="e">
        <f t="shared" si="1"/>
        <v>#VALUE!</v>
      </c>
      <c r="Q22" s="84" t="s">
        <v>205</v>
      </c>
    </row>
    <row r="23" spans="2:17" s="1" customFormat="1" ht="20.25" customHeight="1" x14ac:dyDescent="0.3">
      <c r="B23" s="79" t="s">
        <v>113</v>
      </c>
      <c r="C23" s="16"/>
      <c r="D23" s="91">
        <v>500</v>
      </c>
      <c r="E23" s="80">
        <f t="shared" si="0"/>
        <v>5.0065084609992989E-2</v>
      </c>
      <c r="F23" s="115"/>
      <c r="G23" s="51"/>
      <c r="H23" s="38"/>
      <c r="I23" s="39" t="s">
        <v>204</v>
      </c>
      <c r="J23" s="40"/>
      <c r="K23" s="86"/>
      <c r="L23" s="39"/>
      <c r="M23" s="39"/>
      <c r="N23" s="39"/>
      <c r="O23" s="39"/>
      <c r="P23" s="39" t="e">
        <f t="shared" si="1"/>
        <v>#VALUE!</v>
      </c>
      <c r="Q23" s="84"/>
    </row>
    <row r="24" spans="2:17" s="1" customFormat="1" ht="20.25" customHeight="1" x14ac:dyDescent="0.3">
      <c r="B24" s="79" t="s">
        <v>114</v>
      </c>
      <c r="C24" s="16"/>
      <c r="D24" s="91">
        <v>332</v>
      </c>
      <c r="E24" s="80">
        <f t="shared" si="0"/>
        <v>3.3243216181035345E-2</v>
      </c>
      <c r="F24" s="115"/>
      <c r="G24" s="51"/>
      <c r="H24" s="38"/>
      <c r="I24" s="39"/>
      <c r="J24" s="40"/>
      <c r="K24" s="86"/>
      <c r="L24" s="39"/>
      <c r="M24" s="39"/>
      <c r="N24" s="39"/>
      <c r="O24" s="39"/>
      <c r="P24" s="39">
        <f t="shared" si="1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332</v>
      </c>
      <c r="E25" s="80">
        <f t="shared" si="0"/>
        <v>3.3243216181035345E-2</v>
      </c>
      <c r="F25" s="115"/>
      <c r="G25" s="51"/>
      <c r="H25" s="38"/>
      <c r="I25" s="39"/>
      <c r="J25" s="40"/>
      <c r="K25" s="86"/>
      <c r="L25" s="39"/>
      <c r="M25" s="39"/>
      <c r="N25" s="39"/>
      <c r="O25" s="39"/>
      <c r="P25" s="39">
        <f t="shared" si="1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252</v>
      </c>
      <c r="E26" s="80">
        <f t="shared" si="0"/>
        <v>2.5232802643436466E-2</v>
      </c>
      <c r="F26" s="115"/>
      <c r="G26" s="51"/>
      <c r="H26" s="38"/>
      <c r="I26" s="39"/>
      <c r="J26" s="40"/>
      <c r="K26" s="86"/>
      <c r="L26" s="39"/>
      <c r="M26" s="39"/>
      <c r="N26" s="39"/>
      <c r="O26" s="39"/>
      <c r="P26" s="39">
        <f t="shared" si="1"/>
        <v>0</v>
      </c>
      <c r="Q26" s="84"/>
    </row>
    <row r="27" spans="2:17" s="1" customFormat="1" ht="20.25" customHeight="1" x14ac:dyDescent="0.3">
      <c r="B27" s="79" t="s">
        <v>51</v>
      </c>
      <c r="C27" s="16"/>
      <c r="D27" s="91"/>
      <c r="E27" s="80">
        <f t="shared" si="0"/>
        <v>0</v>
      </c>
      <c r="F27" s="115"/>
      <c r="G27" s="51"/>
      <c r="H27" s="38"/>
      <c r="I27" s="39"/>
      <c r="J27" s="40">
        <v>0</v>
      </c>
      <c r="K27" s="86">
        <f t="shared" ref="K27:K30" si="2">K26+I27</f>
        <v>0</v>
      </c>
      <c r="L27" s="39"/>
      <c r="M27" s="39"/>
      <c r="N27" s="39"/>
      <c r="O27" s="39"/>
      <c r="P27" s="39">
        <f t="shared" si="1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/>
      <c r="I28" s="39"/>
      <c r="J28" s="40">
        <v>0</v>
      </c>
      <c r="K28" s="86">
        <f t="shared" si="2"/>
        <v>0</v>
      </c>
      <c r="L28" s="39"/>
      <c r="M28" s="39"/>
      <c r="N28" s="39"/>
      <c r="O28" s="39"/>
      <c r="P28" s="39">
        <f t="shared" si="1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>
        <v>84</v>
      </c>
      <c r="E29" s="80">
        <f t="shared" si="0"/>
        <v>8.410934214478822E-3</v>
      </c>
      <c r="F29" s="115" t="s">
        <v>180</v>
      </c>
      <c r="G29" s="51"/>
      <c r="H29" s="38"/>
      <c r="I29" s="39"/>
      <c r="J29" s="40">
        <v>0</v>
      </c>
      <c r="K29" s="86">
        <f t="shared" si="2"/>
        <v>0</v>
      </c>
      <c r="L29" s="39"/>
      <c r="M29" s="39"/>
      <c r="N29" s="39"/>
      <c r="O29" s="39"/>
      <c r="P29" s="39">
        <f t="shared" si="1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84</v>
      </c>
      <c r="E30" s="80">
        <f t="shared" si="0"/>
        <v>8.410934214478822E-3</v>
      </c>
      <c r="F30" s="115" t="s">
        <v>180</v>
      </c>
      <c r="G30" s="51"/>
      <c r="H30" s="38"/>
      <c r="I30" s="39"/>
      <c r="J30" s="40">
        <v>0</v>
      </c>
      <c r="K30" s="86">
        <f t="shared" si="2"/>
        <v>0</v>
      </c>
      <c r="L30" s="39"/>
      <c r="M30" s="39"/>
      <c r="N30" s="39"/>
      <c r="O30" s="39"/>
      <c r="P30" s="39">
        <f t="shared" si="1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 t="s">
        <v>138</v>
      </c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/>
      <c r="J34" s="36"/>
      <c r="K34" s="36"/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108</v>
      </c>
      <c r="E36" s="80">
        <f t="shared" si="0"/>
        <v>1.0814058275758487E-2</v>
      </c>
      <c r="F36" s="115"/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v>2</v>
      </c>
      <c r="K37" s="46">
        <f>J37/(J37+J38+J39)</f>
        <v>8.0645161290322578E-3</v>
      </c>
      <c r="L37" s="111">
        <v>0.83</v>
      </c>
      <c r="M37" s="96"/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9987</v>
      </c>
      <c r="E38" s="82">
        <f>SUM(E15:E37)</f>
        <v>0.99999999999999978</v>
      </c>
      <c r="F38" s="115"/>
      <c r="G38" s="10" t="s">
        <v>28</v>
      </c>
      <c r="H38" s="17" t="s">
        <v>206</v>
      </c>
      <c r="I38" s="17" t="s">
        <v>207</v>
      </c>
      <c r="J38" s="55">
        <v>10</v>
      </c>
      <c r="K38" s="46" t="s">
        <v>208</v>
      </c>
      <c r="L38" s="111">
        <v>0.83</v>
      </c>
      <c r="M38" s="96" t="e">
        <f>SUM(P18:P30)</f>
        <v>#VALUE!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39.948</v>
      </c>
      <c r="G39" s="10" t="s">
        <v>41</v>
      </c>
      <c r="H39" s="54" t="s">
        <v>209</v>
      </c>
      <c r="I39" s="17" t="s">
        <v>160</v>
      </c>
      <c r="J39" s="55">
        <v>236</v>
      </c>
      <c r="K39" s="94">
        <f>J39/(J39+J38+J37)</f>
        <v>0.95161290322580649</v>
      </c>
      <c r="L39" s="111">
        <v>0.80900000000000005</v>
      </c>
      <c r="M39" s="96" t="e">
        <f>SUM(P19:P31)</f>
        <v>#VALUE!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206</v>
      </c>
      <c r="I40" s="17" t="s">
        <v>207</v>
      </c>
      <c r="J40" s="47">
        <v>226</v>
      </c>
      <c r="K40" s="48" t="s">
        <v>208</v>
      </c>
      <c r="L40" s="111">
        <v>0.81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474</v>
      </c>
      <c r="K41" s="97">
        <f>SUM(K37:K40)</f>
        <v>0.95967741935483875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 t="e">
        <f>SUM(M39:M41)</f>
        <v>#VALUE!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>
        <v>45733</v>
      </c>
      <c r="I44" s="45">
        <f>J39</f>
        <v>236</v>
      </c>
      <c r="J44" s="19">
        <v>218</v>
      </c>
      <c r="K44" s="88">
        <f>I44+J44</f>
        <v>454</v>
      </c>
      <c r="L44" s="95">
        <v>0.42799999999999999</v>
      </c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>
        <v>45733</v>
      </c>
      <c r="I45" s="125">
        <f>I44+J44</f>
        <v>454</v>
      </c>
      <c r="J45" s="19">
        <v>2</v>
      </c>
      <c r="K45" s="88">
        <f>K44+J45</f>
        <v>456</v>
      </c>
      <c r="L45" s="95">
        <v>0.42</v>
      </c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456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456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690</v>
      </c>
      <c r="J48" s="35">
        <f>SUM(J44:J47)</f>
        <v>220</v>
      </c>
      <c r="K48" s="101">
        <f>K47</f>
        <v>456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#VALUE!</v>
      </c>
      <c r="M51" s="114" t="e">
        <f>M39+#REF!</f>
        <v>#VALUE!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3">K51+J52</f>
        <v>#REF!</v>
      </c>
      <c r="L52" s="95"/>
      <c r="M52" s="96" t="e">
        <f t="shared" ref="M52:M57" si="4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3"/>
        <v>#REF!</v>
      </c>
      <c r="L53" s="56"/>
      <c r="M53" s="96" t="e">
        <f t="shared" si="4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3"/>
        <v>#REF!</v>
      </c>
      <c r="L54" s="56"/>
      <c r="M54" s="96" t="e">
        <f t="shared" si="4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3"/>
        <v>#REF!</v>
      </c>
      <c r="L55" s="56"/>
      <c r="M55" s="96" t="e">
        <f t="shared" si="4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3"/>
        <v>#REF!</v>
      </c>
      <c r="L56" s="56"/>
      <c r="M56" s="96" t="e">
        <f t="shared" si="4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3"/>
        <v>#REF!</v>
      </c>
      <c r="L57" s="56"/>
      <c r="M57" s="96" t="e">
        <f t="shared" si="4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B931-FC8E-B848-A61D-2ED2A0F55317}">
  <sheetPr>
    <pageSetUpPr fitToPage="1"/>
  </sheetPr>
  <dimension ref="B1:Q61"/>
  <sheetViews>
    <sheetView workbookViewId="0">
      <selection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102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103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/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/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85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105</v>
      </c>
      <c r="E9" s="30">
        <v>0.96</v>
      </c>
      <c r="F9" s="75">
        <f>D9*E9</f>
        <v>100.8</v>
      </c>
      <c r="G9" s="132">
        <f>D9/$D12</f>
        <v>0.42</v>
      </c>
      <c r="H9" s="27" t="s">
        <v>23</v>
      </c>
      <c r="I9" s="138" t="s">
        <v>26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145</v>
      </c>
      <c r="E10" s="30">
        <v>0</v>
      </c>
      <c r="F10" s="75"/>
      <c r="G10" s="132">
        <f>D10/D$12</f>
        <v>0.57999999999999996</v>
      </c>
      <c r="H10" s="27" t="s">
        <v>46</v>
      </c>
      <c r="I10" s="138" t="s">
        <v>67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250</v>
      </c>
      <c r="E12" s="103">
        <f>F9/D12</f>
        <v>0.4032</v>
      </c>
      <c r="F12" s="76">
        <f>D12*E12</f>
        <v>100.8</v>
      </c>
      <c r="G12" s="5"/>
      <c r="H12" s="29" t="s">
        <v>25</v>
      </c>
      <c r="I12" s="138" t="s">
        <v>86</v>
      </c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1563</v>
      </c>
      <c r="E15" s="80">
        <f>D15/D$38</f>
        <v>0.61318163985876817</v>
      </c>
      <c r="F15" s="115">
        <v>6250</v>
      </c>
      <c r="G15" s="51"/>
      <c r="H15" s="38" t="s">
        <v>27</v>
      </c>
      <c r="I15" s="39">
        <v>1.5</v>
      </c>
      <c r="J15" s="40">
        <f>I15/I$34</f>
        <v>0.3</v>
      </c>
      <c r="K15" s="41"/>
      <c r="L15" s="39"/>
      <c r="M15" s="39"/>
      <c r="N15" s="39"/>
      <c r="O15" s="38"/>
      <c r="P15" s="39">
        <f>I15*L15/100</f>
        <v>0</v>
      </c>
      <c r="Q15" s="84" t="s">
        <v>88</v>
      </c>
    </row>
    <row r="16" spans="2:17" s="1" customFormat="1" ht="20.25" customHeight="1" outlineLevel="1" x14ac:dyDescent="0.3">
      <c r="B16" s="79" t="s">
        <v>104</v>
      </c>
      <c r="C16" s="16" t="s">
        <v>105</v>
      </c>
      <c r="D16" s="91">
        <v>125</v>
      </c>
      <c r="E16" s="80">
        <f t="shared" ref="E16:E37" si="0">D16/D$38</f>
        <v>4.9038838760298159E-2</v>
      </c>
      <c r="F16" s="115">
        <v>625</v>
      </c>
      <c r="G16" s="51"/>
      <c r="H16" s="38" t="s">
        <v>28</v>
      </c>
      <c r="I16" s="39">
        <v>1.5</v>
      </c>
      <c r="J16" s="40">
        <f t="shared" ref="J16:J30" si="1">I16/I$34</f>
        <v>0.3</v>
      </c>
      <c r="K16" s="41"/>
      <c r="L16" s="39"/>
      <c r="M16" s="39"/>
      <c r="N16" s="39"/>
      <c r="O16" s="38"/>
      <c r="P16" s="39">
        <f>I16*L16/100</f>
        <v>0</v>
      </c>
      <c r="Q16" s="84"/>
    </row>
    <row r="17" spans="2:17" s="1" customFormat="1" ht="20.25" customHeight="1" outlineLevel="1" x14ac:dyDescent="0.3">
      <c r="B17" s="79" t="s">
        <v>60</v>
      </c>
      <c r="C17" s="16"/>
      <c r="D17" s="91">
        <v>100</v>
      </c>
      <c r="E17" s="80">
        <f t="shared" si="0"/>
        <v>3.9231071008238527E-2</v>
      </c>
      <c r="F17" s="133">
        <f>(100*1000)/600</f>
        <v>166.66666666666666</v>
      </c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/>
      <c r="H18" s="38" t="s">
        <v>14</v>
      </c>
      <c r="I18" s="39">
        <v>2</v>
      </c>
      <c r="J18" s="40">
        <f t="shared" si="1"/>
        <v>0.4</v>
      </c>
      <c r="K18" s="86">
        <f>I18</f>
        <v>2</v>
      </c>
      <c r="L18" s="39"/>
      <c r="M18" s="39"/>
      <c r="N18" s="39"/>
      <c r="O18" s="38"/>
      <c r="P18" s="39">
        <f t="shared" ref="P18:P30" si="2">I18*L18/100</f>
        <v>0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/>
      <c r="H19" s="38" t="s">
        <v>14</v>
      </c>
      <c r="I19" s="39"/>
      <c r="J19" s="40">
        <f t="shared" si="1"/>
        <v>0</v>
      </c>
      <c r="K19" s="86">
        <f>K18+I19</f>
        <v>2</v>
      </c>
      <c r="L19" s="39"/>
      <c r="M19" s="39"/>
      <c r="N19" s="39"/>
      <c r="O19" s="39"/>
      <c r="P19" s="39">
        <f t="shared" si="2"/>
        <v>0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63</v>
      </c>
      <c r="E20" s="80">
        <f t="shared" si="0"/>
        <v>2.471557473519027E-2</v>
      </c>
      <c r="F20" s="115">
        <v>252</v>
      </c>
      <c r="G20" s="51"/>
      <c r="H20" s="38" t="s">
        <v>14</v>
      </c>
      <c r="I20" s="39"/>
      <c r="J20" s="40">
        <f t="shared" si="1"/>
        <v>0</v>
      </c>
      <c r="K20" s="86">
        <f t="shared" ref="K20:K30" si="3">K19+I20</f>
        <v>2</v>
      </c>
      <c r="L20" s="39"/>
      <c r="M20" s="39"/>
      <c r="N20" s="39"/>
      <c r="O20" s="39"/>
      <c r="P20" s="39">
        <f t="shared" si="2"/>
        <v>0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42</v>
      </c>
      <c r="E21" s="80">
        <f t="shared" si="0"/>
        <v>1.6477049823460179E-2</v>
      </c>
      <c r="F21" s="115">
        <v>168</v>
      </c>
      <c r="G21" s="51"/>
      <c r="H21" s="38" t="s">
        <v>14</v>
      </c>
      <c r="I21" s="39"/>
      <c r="J21" s="40">
        <f t="shared" si="1"/>
        <v>0</v>
      </c>
      <c r="K21" s="86">
        <f t="shared" si="3"/>
        <v>2</v>
      </c>
      <c r="L21" s="39"/>
      <c r="M21" s="39"/>
      <c r="N21" s="39"/>
      <c r="O21" s="39"/>
      <c r="P21" s="39">
        <f t="shared" si="2"/>
        <v>0</v>
      </c>
      <c r="Q21" s="84"/>
    </row>
    <row r="22" spans="2:17" s="1" customFormat="1" ht="20.25" customHeight="1" x14ac:dyDescent="0.3">
      <c r="B22" s="79" t="s">
        <v>115</v>
      </c>
      <c r="C22" s="16"/>
      <c r="D22" s="91">
        <v>208</v>
      </c>
      <c r="E22" s="80">
        <f t="shared" si="0"/>
        <v>8.1600627697136136E-2</v>
      </c>
      <c r="F22" s="115">
        <v>832</v>
      </c>
      <c r="G22" s="51"/>
      <c r="H22" s="38" t="s">
        <v>14</v>
      </c>
      <c r="I22" s="39"/>
      <c r="J22" s="40">
        <f t="shared" si="1"/>
        <v>0</v>
      </c>
      <c r="K22" s="86">
        <f t="shared" si="3"/>
        <v>2</v>
      </c>
      <c r="L22" s="39"/>
      <c r="M22" s="39"/>
      <c r="N22" s="39"/>
      <c r="O22" s="39"/>
      <c r="P22" s="39">
        <f t="shared" si="2"/>
        <v>0</v>
      </c>
      <c r="Q22" s="84"/>
    </row>
    <row r="23" spans="2:17" s="1" customFormat="1" ht="20.25" customHeight="1" x14ac:dyDescent="0.3">
      <c r="B23" s="79" t="s">
        <v>113</v>
      </c>
      <c r="C23" s="16"/>
      <c r="D23" s="91">
        <v>125</v>
      </c>
      <c r="E23" s="80">
        <f t="shared" si="0"/>
        <v>4.9038838760298159E-2</v>
      </c>
      <c r="F23" s="115">
        <v>500</v>
      </c>
      <c r="G23" s="51"/>
      <c r="H23" s="38" t="s">
        <v>14</v>
      </c>
      <c r="I23" s="39"/>
      <c r="J23" s="40">
        <f t="shared" si="1"/>
        <v>0</v>
      </c>
      <c r="K23" s="86">
        <f t="shared" si="3"/>
        <v>2</v>
      </c>
      <c r="L23" s="39"/>
      <c r="M23" s="39"/>
      <c r="N23" s="39"/>
      <c r="O23" s="39"/>
      <c r="P23" s="39">
        <f t="shared" si="2"/>
        <v>0</v>
      </c>
      <c r="Q23" s="84"/>
    </row>
    <row r="24" spans="2:17" s="1" customFormat="1" ht="20.25" customHeight="1" x14ac:dyDescent="0.3">
      <c r="B24" s="79" t="s">
        <v>114</v>
      </c>
      <c r="C24" s="16"/>
      <c r="D24" s="91">
        <v>83</v>
      </c>
      <c r="E24" s="80">
        <f t="shared" si="0"/>
        <v>3.2561788936837976E-2</v>
      </c>
      <c r="F24" s="115">
        <v>332</v>
      </c>
      <c r="G24" s="51"/>
      <c r="H24" s="38" t="s">
        <v>14</v>
      </c>
      <c r="I24" s="39"/>
      <c r="J24" s="40">
        <f t="shared" si="1"/>
        <v>0</v>
      </c>
      <c r="K24" s="86">
        <f t="shared" si="3"/>
        <v>2</v>
      </c>
      <c r="L24" s="39"/>
      <c r="M24" s="39"/>
      <c r="N24" s="39"/>
      <c r="O24" s="39"/>
      <c r="P24" s="39">
        <f t="shared" si="2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83</v>
      </c>
      <c r="E25" s="80">
        <f t="shared" si="0"/>
        <v>3.2561788936837976E-2</v>
      </c>
      <c r="F25" s="115">
        <v>332</v>
      </c>
      <c r="G25" s="51"/>
      <c r="H25" s="38" t="s">
        <v>14</v>
      </c>
      <c r="I25" s="39"/>
      <c r="J25" s="40">
        <f t="shared" si="1"/>
        <v>0</v>
      </c>
      <c r="K25" s="86">
        <f t="shared" si="3"/>
        <v>2</v>
      </c>
      <c r="L25" s="39"/>
      <c r="M25" s="39"/>
      <c r="N25" s="39"/>
      <c r="O25" s="39"/>
      <c r="P25" s="39">
        <f t="shared" si="2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63</v>
      </c>
      <c r="E26" s="80">
        <f t="shared" si="0"/>
        <v>2.471557473519027E-2</v>
      </c>
      <c r="F26" s="115">
        <v>252</v>
      </c>
      <c r="G26" s="51"/>
      <c r="H26" s="38" t="s">
        <v>14</v>
      </c>
      <c r="I26" s="39"/>
      <c r="J26" s="40">
        <f t="shared" si="1"/>
        <v>0</v>
      </c>
      <c r="K26" s="86">
        <f t="shared" si="3"/>
        <v>2</v>
      </c>
      <c r="L26" s="39"/>
      <c r="M26" s="39"/>
      <c r="N26" s="39"/>
      <c r="O26" s="39"/>
      <c r="P26" s="39">
        <f t="shared" si="2"/>
        <v>0</v>
      </c>
      <c r="Q26" s="84"/>
    </row>
    <row r="27" spans="2:17" s="1" customFormat="1" ht="20.25" customHeight="1" x14ac:dyDescent="0.3">
      <c r="B27" s="79" t="s">
        <v>51</v>
      </c>
      <c r="C27" s="16" t="s">
        <v>65</v>
      </c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f t="shared" si="1"/>
        <v>0</v>
      </c>
      <c r="K27" s="86">
        <f t="shared" si="3"/>
        <v>2</v>
      </c>
      <c r="L27" s="39"/>
      <c r="M27" s="39"/>
      <c r="N27" s="39"/>
      <c r="O27" s="39"/>
      <c r="P27" s="39">
        <f t="shared" si="2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f t="shared" si="1"/>
        <v>0</v>
      </c>
      <c r="K28" s="86">
        <f t="shared" si="3"/>
        <v>2</v>
      </c>
      <c r="L28" s="39"/>
      <c r="M28" s="39"/>
      <c r="N28" s="39"/>
      <c r="O28" s="39"/>
      <c r="P28" s="39">
        <f t="shared" si="2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>
        <v>21</v>
      </c>
      <c r="E29" s="80">
        <f t="shared" si="0"/>
        <v>8.2385249117300895E-3</v>
      </c>
      <c r="F29" s="115">
        <v>84</v>
      </c>
      <c r="G29" s="51"/>
      <c r="H29" s="38" t="s">
        <v>14</v>
      </c>
      <c r="I29" s="39"/>
      <c r="J29" s="40">
        <f t="shared" si="1"/>
        <v>0</v>
      </c>
      <c r="K29" s="86">
        <f t="shared" si="3"/>
        <v>2</v>
      </c>
      <c r="L29" s="39"/>
      <c r="M29" s="39"/>
      <c r="N29" s="39"/>
      <c r="O29" s="39"/>
      <c r="P29" s="39">
        <f t="shared" si="2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21</v>
      </c>
      <c r="E30" s="80">
        <f t="shared" si="0"/>
        <v>8.2385249117300895E-3</v>
      </c>
      <c r="F30" s="133">
        <f>F17/2</f>
        <v>83.333333333333329</v>
      </c>
      <c r="G30" s="51"/>
      <c r="H30" s="38" t="s">
        <v>14</v>
      </c>
      <c r="I30" s="39"/>
      <c r="J30" s="40">
        <f t="shared" si="1"/>
        <v>0</v>
      </c>
      <c r="K30" s="86">
        <f t="shared" si="3"/>
        <v>2</v>
      </c>
      <c r="L30" s="39"/>
      <c r="M30" s="39"/>
      <c r="N30" s="39"/>
      <c r="O30" s="39"/>
      <c r="P30" s="39">
        <f t="shared" si="2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/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>
        <f>SUM(I13:I30)</f>
        <v>5</v>
      </c>
      <c r="J34" s="36">
        <f>100%-K34</f>
        <v>0.6</v>
      </c>
      <c r="K34" s="36">
        <f>K30/I34</f>
        <v>0.4</v>
      </c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52</v>
      </c>
      <c r="E36" s="80">
        <f t="shared" si="0"/>
        <v>2.0400156924284034E-2</v>
      </c>
      <c r="F36" s="115">
        <v>108</v>
      </c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1.5</v>
      </c>
      <c r="K37" s="46">
        <f>J37/(J37+J38+J39)</f>
        <v>0.3</v>
      </c>
      <c r="L37" s="111">
        <f>M37/J37</f>
        <v>0</v>
      </c>
      <c r="M37" s="96">
        <f>SUM(P15+P16)</f>
        <v>0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2549</v>
      </c>
      <c r="E38" s="82">
        <f>SUM(E15:E37)</f>
        <v>0.99999999999999989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1.5</v>
      </c>
      <c r="K38" s="46">
        <f>J38/(J38+J39+J37)</f>
        <v>0.3</v>
      </c>
      <c r="L38" s="111">
        <f>M38/J38</f>
        <v>0</v>
      </c>
      <c r="M38" s="96">
        <f>SUM(P18:P30)</f>
        <v>0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25.287698412698415</v>
      </c>
      <c r="G39" s="10" t="s">
        <v>41</v>
      </c>
      <c r="H39" s="54" t="s">
        <v>94</v>
      </c>
      <c r="I39" s="53" t="s">
        <v>97</v>
      </c>
      <c r="J39" s="55">
        <f>SUM(I18:I30)</f>
        <v>2</v>
      </c>
      <c r="K39" s="94">
        <f>J39/(J39+J38+J37)</f>
        <v>0.4</v>
      </c>
      <c r="L39" s="111">
        <f>M39/J39</f>
        <v>0</v>
      </c>
      <c r="M39" s="96">
        <f>SUM(P19:P31)</f>
        <v>0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5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0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/>
      <c r="I44" s="45">
        <f>J39</f>
        <v>2</v>
      </c>
      <c r="J44" s="19"/>
      <c r="K44" s="88">
        <f>I44+J44</f>
        <v>2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2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2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2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2</v>
      </c>
      <c r="J48" s="35">
        <f>SUM(J44:J47)</f>
        <v>0</v>
      </c>
      <c r="K48" s="101">
        <f>K47</f>
        <v>2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4">K51+J52</f>
        <v>#REF!</v>
      </c>
      <c r="L52" s="95"/>
      <c r="M52" s="96" t="e">
        <f t="shared" ref="M52:M57" si="5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4"/>
        <v>#REF!</v>
      </c>
      <c r="L53" s="56"/>
      <c r="M53" s="96" t="e">
        <f t="shared" si="5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4"/>
        <v>#REF!</v>
      </c>
      <c r="L54" s="56"/>
      <c r="M54" s="96" t="e">
        <f t="shared" si="5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4"/>
        <v>#REF!</v>
      </c>
      <c r="L55" s="56"/>
      <c r="M55" s="96" t="e">
        <f t="shared" si="5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4"/>
        <v>#REF!</v>
      </c>
      <c r="L56" s="56"/>
      <c r="M56" s="96" t="e">
        <f t="shared" si="5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4"/>
        <v>#REF!</v>
      </c>
      <c r="L57" s="56"/>
      <c r="M57" s="96" t="e">
        <f t="shared" si="5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1C8E-7A02-0E40-A22E-DB96E0B1E265}">
  <sheetPr>
    <pageSetUpPr fitToPage="1"/>
  </sheetPr>
  <dimension ref="B1:Q61"/>
  <sheetViews>
    <sheetView workbookViewId="0">
      <selection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149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148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44907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 t="s">
        <v>150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85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125</v>
      </c>
      <c r="E9" s="30">
        <v>0.96</v>
      </c>
      <c r="F9" s="75">
        <f>D9*E9</f>
        <v>120</v>
      </c>
      <c r="G9" s="132">
        <f>D9/$D12</f>
        <v>0.5</v>
      </c>
      <c r="H9" s="27" t="s">
        <v>23</v>
      </c>
      <c r="I9" s="138" t="s">
        <v>153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125</v>
      </c>
      <c r="E10" s="30">
        <v>0</v>
      </c>
      <c r="F10" s="75"/>
      <c r="G10" s="132">
        <f>D10/D$12</f>
        <v>0.5</v>
      </c>
      <c r="H10" s="27" t="s">
        <v>46</v>
      </c>
      <c r="I10" s="138" t="s">
        <v>154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250</v>
      </c>
      <c r="E12" s="103">
        <f>F9/D12</f>
        <v>0.48</v>
      </c>
      <c r="F12" s="76">
        <f>D12*E12</f>
        <v>120</v>
      </c>
      <c r="G12" s="5"/>
      <c r="H12" s="29" t="s">
        <v>25</v>
      </c>
      <c r="I12" s="138"/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1650</v>
      </c>
      <c r="E15" s="80">
        <f>D15/D$38</f>
        <v>0.59288537549407117</v>
      </c>
      <c r="F15" s="115">
        <v>6250</v>
      </c>
      <c r="G15" s="51">
        <v>10.3</v>
      </c>
      <c r="H15" s="38" t="s">
        <v>27</v>
      </c>
      <c r="I15" s="39">
        <v>1.5</v>
      </c>
      <c r="J15" s="40">
        <f>I15/I$34</f>
        <v>2.0408163265306121E-2</v>
      </c>
      <c r="K15" s="41"/>
      <c r="L15" s="39"/>
      <c r="M15" s="39"/>
      <c r="N15" s="39"/>
      <c r="O15" s="38"/>
      <c r="P15" s="39">
        <f>I15*L15/100</f>
        <v>0</v>
      </c>
      <c r="Q15" s="84" t="s">
        <v>88</v>
      </c>
    </row>
    <row r="16" spans="2:17" s="1" customFormat="1" ht="20.25" customHeight="1" outlineLevel="1" x14ac:dyDescent="0.3">
      <c r="B16" s="79" t="s">
        <v>151</v>
      </c>
      <c r="C16" s="16" t="s">
        <v>152</v>
      </c>
      <c r="D16" s="91">
        <v>330</v>
      </c>
      <c r="E16" s="80">
        <f t="shared" ref="E16:E37" si="0">D16/D$38</f>
        <v>0.11857707509881422</v>
      </c>
      <c r="F16" s="115">
        <v>625</v>
      </c>
      <c r="G16" s="51"/>
      <c r="H16" s="38"/>
      <c r="I16" s="39"/>
      <c r="J16" s="40">
        <f t="shared" ref="J16:J30" si="1">I16/I$34</f>
        <v>0</v>
      </c>
      <c r="K16" s="41"/>
      <c r="L16" s="39"/>
      <c r="M16" s="39"/>
      <c r="N16" s="39"/>
      <c r="O16" s="38"/>
      <c r="P16" s="39">
        <f>I16*L16/100</f>
        <v>0</v>
      </c>
      <c r="Q16" s="84"/>
    </row>
    <row r="17" spans="2:17" s="1" customFormat="1" ht="20.25" customHeight="1" outlineLevel="1" x14ac:dyDescent="0.3">
      <c r="B17" s="79" t="s">
        <v>60</v>
      </c>
      <c r="C17" s="16"/>
      <c r="D17" s="91">
        <v>42</v>
      </c>
      <c r="E17" s="80">
        <f t="shared" si="0"/>
        <v>1.5091627739849083E-2</v>
      </c>
      <c r="F17" s="115">
        <v>168</v>
      </c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>
        <v>0.4375</v>
      </c>
      <c r="H18" s="38" t="s">
        <v>14</v>
      </c>
      <c r="I18" s="39"/>
      <c r="J18" s="40">
        <f t="shared" si="1"/>
        <v>0</v>
      </c>
      <c r="K18" s="86">
        <f>I18</f>
        <v>0</v>
      </c>
      <c r="L18" s="39">
        <v>82.6</v>
      </c>
      <c r="M18" s="39"/>
      <c r="N18" s="39"/>
      <c r="O18" s="38"/>
      <c r="P18" s="39">
        <f t="shared" ref="P18:P30" si="2">I18*L18/100</f>
        <v>0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>
        <v>0.46875</v>
      </c>
      <c r="H19" s="38" t="s">
        <v>14</v>
      </c>
      <c r="I19" s="39">
        <v>5</v>
      </c>
      <c r="J19" s="40">
        <f t="shared" si="1"/>
        <v>6.8027210884353748E-2</v>
      </c>
      <c r="K19" s="86">
        <f>K18+I19</f>
        <v>5</v>
      </c>
      <c r="L19" s="39">
        <v>82.4</v>
      </c>
      <c r="M19" s="39"/>
      <c r="N19" s="39"/>
      <c r="O19" s="39"/>
      <c r="P19" s="39">
        <f t="shared" si="2"/>
        <v>4.12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63</v>
      </c>
      <c r="E20" s="80">
        <f t="shared" si="0"/>
        <v>2.2637441609773625E-2</v>
      </c>
      <c r="F20" s="115">
        <v>252</v>
      </c>
      <c r="G20" s="51">
        <v>0.47916666666666669</v>
      </c>
      <c r="H20" s="38" t="s">
        <v>14</v>
      </c>
      <c r="I20" s="39">
        <v>5</v>
      </c>
      <c r="J20" s="40">
        <f t="shared" si="1"/>
        <v>6.8027210884353748E-2</v>
      </c>
      <c r="K20" s="86">
        <f t="shared" ref="K20:K30" si="3">K19+I20</f>
        <v>10</v>
      </c>
      <c r="L20" s="39">
        <v>82.3</v>
      </c>
      <c r="M20" s="39"/>
      <c r="N20" s="39"/>
      <c r="O20" s="39"/>
      <c r="P20" s="39">
        <f t="shared" si="2"/>
        <v>4.1150000000000002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42</v>
      </c>
      <c r="E21" s="80">
        <f t="shared" si="0"/>
        <v>1.5091627739849083E-2</v>
      </c>
      <c r="F21" s="115">
        <v>168</v>
      </c>
      <c r="G21" s="51">
        <v>0.49305555555555558</v>
      </c>
      <c r="H21" s="38" t="s">
        <v>14</v>
      </c>
      <c r="I21" s="39">
        <v>5</v>
      </c>
      <c r="J21" s="40">
        <f t="shared" si="1"/>
        <v>6.8027210884353748E-2</v>
      </c>
      <c r="K21" s="86">
        <f t="shared" si="3"/>
        <v>15</v>
      </c>
      <c r="L21" s="39">
        <v>82.5</v>
      </c>
      <c r="M21" s="39"/>
      <c r="N21" s="39"/>
      <c r="O21" s="39"/>
      <c r="P21" s="39">
        <f t="shared" si="2"/>
        <v>4.125</v>
      </c>
      <c r="Q21" s="84"/>
    </row>
    <row r="22" spans="2:17" s="1" customFormat="1" ht="20.25" customHeight="1" x14ac:dyDescent="0.3">
      <c r="B22" s="79" t="s">
        <v>115</v>
      </c>
      <c r="C22" s="16"/>
      <c r="D22" s="91">
        <v>208</v>
      </c>
      <c r="E22" s="80">
        <f t="shared" si="0"/>
        <v>7.4739489759252611E-2</v>
      </c>
      <c r="F22" s="115">
        <v>832</v>
      </c>
      <c r="G22" s="51">
        <v>0.50694444444444442</v>
      </c>
      <c r="H22" s="38" t="s">
        <v>14</v>
      </c>
      <c r="I22" s="39">
        <v>5</v>
      </c>
      <c r="J22" s="40">
        <f t="shared" si="1"/>
        <v>6.8027210884353748E-2</v>
      </c>
      <c r="K22" s="86">
        <f t="shared" si="3"/>
        <v>20</v>
      </c>
      <c r="L22" s="39">
        <v>82.3</v>
      </c>
      <c r="M22" s="39"/>
      <c r="N22" s="39"/>
      <c r="O22" s="39"/>
      <c r="P22" s="39">
        <f t="shared" si="2"/>
        <v>4.1150000000000002</v>
      </c>
      <c r="Q22" s="84"/>
    </row>
    <row r="23" spans="2:17" s="1" customFormat="1" ht="20.25" customHeight="1" x14ac:dyDescent="0.3">
      <c r="B23" s="79" t="s">
        <v>113</v>
      </c>
      <c r="C23" s="16"/>
      <c r="D23" s="91">
        <v>125</v>
      </c>
      <c r="E23" s="80">
        <f t="shared" si="0"/>
        <v>4.4915558749550846E-2</v>
      </c>
      <c r="F23" s="115">
        <v>500</v>
      </c>
      <c r="G23" s="51">
        <v>0.52083333333333337</v>
      </c>
      <c r="H23" s="38" t="s">
        <v>14</v>
      </c>
      <c r="I23" s="39">
        <v>5</v>
      </c>
      <c r="J23" s="40">
        <f t="shared" si="1"/>
        <v>6.8027210884353748E-2</v>
      </c>
      <c r="K23" s="86">
        <f t="shared" si="3"/>
        <v>25</v>
      </c>
      <c r="L23" s="39">
        <v>82</v>
      </c>
      <c r="M23" s="39"/>
      <c r="N23" s="39"/>
      <c r="O23" s="39"/>
      <c r="P23" s="39">
        <f t="shared" si="2"/>
        <v>4.0999999999999996</v>
      </c>
      <c r="Q23" s="84"/>
    </row>
    <row r="24" spans="2:17" s="1" customFormat="1" ht="20.25" customHeight="1" x14ac:dyDescent="0.3">
      <c r="B24" s="79" t="s">
        <v>114</v>
      </c>
      <c r="C24" s="16"/>
      <c r="D24" s="91">
        <v>83</v>
      </c>
      <c r="E24" s="80">
        <f t="shared" si="0"/>
        <v>2.9823931009701762E-2</v>
      </c>
      <c r="F24" s="115">
        <v>332</v>
      </c>
      <c r="G24" s="51">
        <v>0.53472222222222221</v>
      </c>
      <c r="H24" s="38" t="s">
        <v>14</v>
      </c>
      <c r="I24" s="39">
        <v>5</v>
      </c>
      <c r="J24" s="40">
        <f t="shared" si="1"/>
        <v>6.8027210884353748E-2</v>
      </c>
      <c r="K24" s="86">
        <f t="shared" si="3"/>
        <v>30</v>
      </c>
      <c r="L24" s="39">
        <v>81.8</v>
      </c>
      <c r="M24" s="39"/>
      <c r="N24" s="39"/>
      <c r="O24" s="39"/>
      <c r="P24" s="39">
        <f t="shared" si="2"/>
        <v>4.09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83</v>
      </c>
      <c r="E25" s="80">
        <f t="shared" si="0"/>
        <v>2.9823931009701762E-2</v>
      </c>
      <c r="F25" s="115">
        <v>332</v>
      </c>
      <c r="G25" s="51">
        <v>0.54861111111111105</v>
      </c>
      <c r="H25" s="38" t="s">
        <v>14</v>
      </c>
      <c r="I25" s="39">
        <v>5</v>
      </c>
      <c r="J25" s="40">
        <f t="shared" si="1"/>
        <v>6.8027210884353748E-2</v>
      </c>
      <c r="K25" s="86">
        <f t="shared" si="3"/>
        <v>35</v>
      </c>
      <c r="L25" s="39">
        <v>81.8</v>
      </c>
      <c r="M25" s="39"/>
      <c r="N25" s="39"/>
      <c r="O25" s="39"/>
      <c r="P25" s="39">
        <f t="shared" si="2"/>
        <v>4.09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63</v>
      </c>
      <c r="E26" s="80">
        <f t="shared" si="0"/>
        <v>2.2637441609773625E-2</v>
      </c>
      <c r="F26" s="115">
        <v>252</v>
      </c>
      <c r="G26" s="51">
        <v>6.25E-2</v>
      </c>
      <c r="H26" s="38" t="s">
        <v>14</v>
      </c>
      <c r="I26" s="39">
        <v>5</v>
      </c>
      <c r="J26" s="40">
        <f t="shared" si="1"/>
        <v>6.8027210884353748E-2</v>
      </c>
      <c r="K26" s="86">
        <f t="shared" si="3"/>
        <v>40</v>
      </c>
      <c r="L26" s="39">
        <v>81.599999999999994</v>
      </c>
      <c r="M26" s="39"/>
      <c r="N26" s="39"/>
      <c r="O26" s="39"/>
      <c r="P26" s="39">
        <f t="shared" si="2"/>
        <v>4.08</v>
      </c>
      <c r="Q26" s="84"/>
    </row>
    <row r="27" spans="2:17" s="1" customFormat="1" ht="20.25" customHeight="1" x14ac:dyDescent="0.3">
      <c r="B27" s="79" t="s">
        <v>51</v>
      </c>
      <c r="C27" s="16" t="s">
        <v>65</v>
      </c>
      <c r="D27" s="91"/>
      <c r="E27" s="80">
        <f t="shared" si="0"/>
        <v>0</v>
      </c>
      <c r="F27" s="115"/>
      <c r="G27" s="51">
        <v>0.57638888888888895</v>
      </c>
      <c r="H27" s="38" t="s">
        <v>14</v>
      </c>
      <c r="I27" s="39">
        <v>5</v>
      </c>
      <c r="J27" s="40">
        <f t="shared" si="1"/>
        <v>6.8027210884353748E-2</v>
      </c>
      <c r="K27" s="86">
        <f t="shared" si="3"/>
        <v>45</v>
      </c>
      <c r="L27" s="39">
        <v>81.3</v>
      </c>
      <c r="M27" s="39"/>
      <c r="N27" s="39"/>
      <c r="O27" s="39"/>
      <c r="P27" s="39">
        <f t="shared" si="2"/>
        <v>4.0650000000000004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>
        <v>0.59027777777777779</v>
      </c>
      <c r="H28" s="38" t="s">
        <v>14</v>
      </c>
      <c r="I28" s="39">
        <v>5</v>
      </c>
      <c r="J28" s="40">
        <f t="shared" si="1"/>
        <v>6.8027210884353748E-2</v>
      </c>
      <c r="K28" s="86">
        <f t="shared" si="3"/>
        <v>50</v>
      </c>
      <c r="L28" s="39">
        <v>81</v>
      </c>
      <c r="M28" s="39"/>
      <c r="N28" s="39"/>
      <c r="O28" s="39"/>
      <c r="P28" s="39">
        <f t="shared" si="2"/>
        <v>4.05</v>
      </c>
      <c r="Q28" s="84"/>
    </row>
    <row r="29" spans="2:17" s="1" customFormat="1" ht="20.25" customHeight="1" x14ac:dyDescent="0.3">
      <c r="B29" s="79" t="s">
        <v>106</v>
      </c>
      <c r="C29" s="16"/>
      <c r="D29" s="91">
        <v>21</v>
      </c>
      <c r="E29" s="80">
        <f t="shared" si="0"/>
        <v>7.5458138699245414E-3</v>
      </c>
      <c r="F29" s="115">
        <v>84</v>
      </c>
      <c r="G29" s="51">
        <v>0.61805555555555558</v>
      </c>
      <c r="H29" s="38" t="s">
        <v>14</v>
      </c>
      <c r="I29" s="39">
        <v>10</v>
      </c>
      <c r="J29" s="40">
        <f t="shared" si="1"/>
        <v>0.1360544217687075</v>
      </c>
      <c r="K29" s="86">
        <f t="shared" si="3"/>
        <v>60</v>
      </c>
      <c r="L29" s="39">
        <v>80.5</v>
      </c>
      <c r="M29" s="39"/>
      <c r="N29" s="39"/>
      <c r="O29" s="39"/>
      <c r="P29" s="39">
        <f t="shared" si="2"/>
        <v>8.0500000000000007</v>
      </c>
      <c r="Q29" s="84"/>
    </row>
    <row r="30" spans="2:17" s="1" customFormat="1" ht="20.25" customHeight="1" x14ac:dyDescent="0.3">
      <c r="B30" s="79" t="s">
        <v>52</v>
      </c>
      <c r="C30" s="16"/>
      <c r="D30" s="91">
        <v>21</v>
      </c>
      <c r="E30" s="80">
        <f t="shared" si="0"/>
        <v>7.5458138699245414E-3</v>
      </c>
      <c r="F30" s="115">
        <v>84</v>
      </c>
      <c r="G30" s="51">
        <v>0.63194444444444442</v>
      </c>
      <c r="H30" s="38" t="s">
        <v>14</v>
      </c>
      <c r="I30" s="39">
        <v>12</v>
      </c>
      <c r="J30" s="40">
        <f t="shared" si="1"/>
        <v>0.16326530612244897</v>
      </c>
      <c r="K30" s="86">
        <f t="shared" si="3"/>
        <v>72</v>
      </c>
      <c r="L30" s="39">
        <v>79.5</v>
      </c>
      <c r="M30" s="39"/>
      <c r="N30" s="39"/>
      <c r="O30" s="39"/>
      <c r="P30" s="39">
        <f t="shared" si="2"/>
        <v>9.5399999999999991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/>
      <c r="I31" s="39"/>
      <c r="J31" s="126"/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>
        <f>SUM(I13:I31)</f>
        <v>73.5</v>
      </c>
      <c r="J34" s="36">
        <f>100%-K34</f>
        <v>2.0408163265306145E-2</v>
      </c>
      <c r="K34" s="36">
        <f>K30/I34</f>
        <v>0.97959183673469385</v>
      </c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52</v>
      </c>
      <c r="E36" s="80">
        <f t="shared" si="0"/>
        <v>1.8684872439813153E-2</v>
      </c>
      <c r="F36" s="115">
        <v>108</v>
      </c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1.5</v>
      </c>
      <c r="K37" s="46">
        <f>J37/(J37+J38+J39)</f>
        <v>2.0408163265306121E-2</v>
      </c>
      <c r="L37" s="111">
        <f>M37/J37</f>
        <v>0</v>
      </c>
      <c r="M37" s="96">
        <f>SUM(P15+P16)</f>
        <v>0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2783</v>
      </c>
      <c r="E38" s="82">
        <f>SUM(E15:E37)</f>
        <v>1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0</v>
      </c>
      <c r="K38" s="46">
        <f>J38/(J38+J39+J37)</f>
        <v>0</v>
      </c>
      <c r="L38" s="111" t="e">
        <f>M38/J38</f>
        <v>#DIV/0!</v>
      </c>
      <c r="M38" s="96">
        <f>SUM(P18:P30)</f>
        <v>58.54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23.191666666666666</v>
      </c>
      <c r="G39" s="10" t="s">
        <v>41</v>
      </c>
      <c r="H39" s="54" t="s">
        <v>94</v>
      </c>
      <c r="I39" s="53" t="s">
        <v>97</v>
      </c>
      <c r="J39" s="55">
        <f>SUM(I18:I30)</f>
        <v>72</v>
      </c>
      <c r="K39" s="94">
        <f>J39/(J39+J38+J37)</f>
        <v>0.97959183673469385</v>
      </c>
      <c r="L39" s="111">
        <f>M39/J39</f>
        <v>0.81305555555555553</v>
      </c>
      <c r="M39" s="96">
        <f>SUM(P19:P31)</f>
        <v>58.54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73.5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58.54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/>
      <c r="I44" s="45">
        <f>J39</f>
        <v>72</v>
      </c>
      <c r="J44" s="19"/>
      <c r="K44" s="88">
        <f>I44+J44</f>
        <v>72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72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72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72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72</v>
      </c>
      <c r="J48" s="35">
        <f>SUM(J44:J47)</f>
        <v>0</v>
      </c>
      <c r="K48" s="101">
        <f>K47</f>
        <v>72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4">K51+J52</f>
        <v>#REF!</v>
      </c>
      <c r="L52" s="95"/>
      <c r="M52" s="96" t="e">
        <f t="shared" ref="M52:M57" si="5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4"/>
        <v>#REF!</v>
      </c>
      <c r="L53" s="56"/>
      <c r="M53" s="96" t="e">
        <f t="shared" si="5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4"/>
        <v>#REF!</v>
      </c>
      <c r="L54" s="56"/>
      <c r="M54" s="96" t="e">
        <f t="shared" si="5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4"/>
        <v>#REF!</v>
      </c>
      <c r="L55" s="56"/>
      <c r="M55" s="96" t="e">
        <f t="shared" si="5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4"/>
        <v>#REF!</v>
      </c>
      <c r="L56" s="56"/>
      <c r="M56" s="96" t="e">
        <f t="shared" si="5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4"/>
        <v>#REF!</v>
      </c>
      <c r="L57" s="56"/>
      <c r="M57" s="96" t="e">
        <f t="shared" si="5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5969-E2EA-496F-872D-F3D89A5E4C5D}">
  <sheetPr>
    <pageSetUpPr fitToPage="1"/>
  </sheetPr>
  <dimension ref="B1:Q61"/>
  <sheetViews>
    <sheetView zoomScale="98" workbookViewId="0">
      <selection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144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103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44880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>
        <v>0.29166666666666669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145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/>
      <c r="E9" s="30">
        <v>0.48</v>
      </c>
      <c r="F9" s="75">
        <f>D9*E9</f>
        <v>0</v>
      </c>
      <c r="G9" s="132" t="e">
        <f>D9/$D12</f>
        <v>#DIV/0!</v>
      </c>
      <c r="H9" s="27" t="s">
        <v>23</v>
      </c>
      <c r="I9" s="138" t="s">
        <v>142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/>
      <c r="E10" s="30">
        <v>0</v>
      </c>
      <c r="F10" s="75"/>
      <c r="G10" s="132" t="e">
        <f>D10/D$12</f>
        <v>#DIV/0!</v>
      </c>
      <c r="H10" s="27" t="s">
        <v>46</v>
      </c>
      <c r="I10" s="138" t="s">
        <v>67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/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SUM(D9:D9)</f>
        <v>0</v>
      </c>
      <c r="E12" s="103" t="e">
        <f>F9/D12</f>
        <v>#DIV/0!</v>
      </c>
      <c r="F12" s="76" t="e">
        <f>D12*E12</f>
        <v>#DIV/0!</v>
      </c>
      <c r="G12" s="5"/>
      <c r="H12" s="29" t="s">
        <v>25</v>
      </c>
      <c r="I12" s="138" t="s">
        <v>143</v>
      </c>
      <c r="J12" s="139"/>
      <c r="K12" s="140"/>
    </row>
    <row r="13" spans="2:17" s="1" customFormat="1" ht="15" thickBot="1" x14ac:dyDescent="0.35">
      <c r="B13" s="3"/>
      <c r="C13"/>
      <c r="D13" s="1" t="s">
        <v>138</v>
      </c>
      <c r="E13" s="1" t="s">
        <v>138</v>
      </c>
      <c r="F13" s="1" t="s">
        <v>138</v>
      </c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1563</v>
      </c>
      <c r="E15" s="80">
        <f>D15/D$38</f>
        <v>0.62745885186672024</v>
      </c>
      <c r="F15" s="115">
        <v>6250</v>
      </c>
      <c r="G15" s="51">
        <v>0.44444444444444442</v>
      </c>
      <c r="H15" s="38" t="s">
        <v>27</v>
      </c>
      <c r="I15" s="39">
        <v>2</v>
      </c>
      <c r="J15" s="40">
        <f>I15/I$34</f>
        <v>1</v>
      </c>
      <c r="K15" s="41"/>
      <c r="L15" s="39"/>
      <c r="M15" s="1">
        <v>32.4</v>
      </c>
      <c r="N15" s="39">
        <v>79.400000000000006</v>
      </c>
      <c r="O15" s="38">
        <v>28.9</v>
      </c>
      <c r="P15" s="39">
        <f>I15*L15/100</f>
        <v>0</v>
      </c>
      <c r="Q15" s="84"/>
    </row>
    <row r="16" spans="2:17" s="1" customFormat="1" ht="20.25" customHeight="1" outlineLevel="1" x14ac:dyDescent="0.3">
      <c r="B16" s="79" t="s">
        <v>104</v>
      </c>
      <c r="C16" s="16" t="s">
        <v>105</v>
      </c>
      <c r="D16" s="91">
        <v>125</v>
      </c>
      <c r="E16" s="80">
        <f t="shared" ref="E16:E37" si="0">D16/D$38</f>
        <v>5.0180650341228421E-2</v>
      </c>
      <c r="F16" s="115">
        <v>625</v>
      </c>
      <c r="G16" s="51"/>
      <c r="H16" s="38" t="s">
        <v>28</v>
      </c>
      <c r="I16" s="39"/>
      <c r="J16" s="40">
        <f t="shared" ref="J16:J30" si="1">I16/I$34</f>
        <v>0</v>
      </c>
      <c r="K16" s="41"/>
      <c r="L16" s="39"/>
      <c r="N16" s="39"/>
      <c r="O16" s="38"/>
      <c r="P16" s="39">
        <f>I16*L16/100</f>
        <v>0</v>
      </c>
      <c r="Q16" s="84"/>
    </row>
    <row r="17" spans="2:17" s="1" customFormat="1" ht="20.25" customHeight="1" outlineLevel="1" x14ac:dyDescent="0.3">
      <c r="B17" s="79" t="s">
        <v>60</v>
      </c>
      <c r="C17" s="16"/>
      <c r="D17" s="91">
        <v>42</v>
      </c>
      <c r="E17" s="80">
        <f t="shared" si="0"/>
        <v>1.6860698514652751E-2</v>
      </c>
      <c r="F17" s="115">
        <v>168</v>
      </c>
      <c r="G17" s="106"/>
      <c r="H17" s="107"/>
      <c r="I17" s="108"/>
      <c r="J17" s="109"/>
      <c r="K17" s="112"/>
      <c r="L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>
        <v>0.47916666666666669</v>
      </c>
      <c r="H18" s="38" t="s">
        <v>14</v>
      </c>
      <c r="I18" s="39"/>
      <c r="J18" s="40">
        <f t="shared" si="1"/>
        <v>0</v>
      </c>
      <c r="K18" s="86">
        <f>I18</f>
        <v>0</v>
      </c>
      <c r="L18" s="39">
        <v>83.3</v>
      </c>
      <c r="M18" s="1">
        <v>34</v>
      </c>
      <c r="N18" s="39">
        <v>79.5</v>
      </c>
      <c r="O18" s="38">
        <v>29.6</v>
      </c>
      <c r="P18" s="39">
        <f t="shared" ref="P18:P30" si="2">I18*L18/100</f>
        <v>0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>
        <v>0.52083333333333337</v>
      </c>
      <c r="H19" s="38" t="s">
        <v>14</v>
      </c>
      <c r="I19" s="39"/>
      <c r="J19" s="40">
        <f t="shared" si="1"/>
        <v>0</v>
      </c>
      <c r="K19" s="86">
        <f>K18+I19</f>
        <v>0</v>
      </c>
      <c r="L19" s="39">
        <v>82.6</v>
      </c>
      <c r="M19" s="1">
        <v>33.6</v>
      </c>
      <c r="N19" s="39">
        <v>79.5</v>
      </c>
      <c r="O19" s="39">
        <v>29.2</v>
      </c>
      <c r="P19" s="39">
        <f t="shared" si="2"/>
        <v>0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63</v>
      </c>
      <c r="E20" s="80">
        <f t="shared" si="0"/>
        <v>2.5291047771979124E-2</v>
      </c>
      <c r="F20" s="115">
        <v>252</v>
      </c>
      <c r="G20" s="51">
        <v>0.5625</v>
      </c>
      <c r="H20" s="38" t="s">
        <v>14</v>
      </c>
      <c r="I20" s="39"/>
      <c r="J20" s="40">
        <f t="shared" si="1"/>
        <v>0</v>
      </c>
      <c r="K20" s="86">
        <f t="shared" ref="K20:K30" si="3">K19+I20</f>
        <v>0</v>
      </c>
      <c r="L20" s="39">
        <v>81.900000000000006</v>
      </c>
      <c r="M20" s="1">
        <v>33</v>
      </c>
      <c r="N20" s="39">
        <v>79.7</v>
      </c>
      <c r="O20" s="39">
        <v>28.9</v>
      </c>
      <c r="P20" s="39">
        <f t="shared" si="2"/>
        <v>0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42</v>
      </c>
      <c r="E21" s="80">
        <f t="shared" si="0"/>
        <v>1.6860698514652751E-2</v>
      </c>
      <c r="F21" s="115">
        <v>168</v>
      </c>
      <c r="G21" s="51">
        <v>0.60416666666666696</v>
      </c>
      <c r="H21" s="38" t="s">
        <v>14</v>
      </c>
      <c r="I21" s="39"/>
      <c r="J21" s="40">
        <f t="shared" si="1"/>
        <v>0</v>
      </c>
      <c r="K21" s="86">
        <f t="shared" si="3"/>
        <v>0</v>
      </c>
      <c r="L21" s="39">
        <v>81.900000000000006</v>
      </c>
      <c r="M21" s="1">
        <v>33</v>
      </c>
      <c r="N21" s="39">
        <v>79.7</v>
      </c>
      <c r="O21" s="39">
        <v>28.4</v>
      </c>
      <c r="P21" s="39">
        <f t="shared" si="2"/>
        <v>0</v>
      </c>
      <c r="Q21" s="84"/>
    </row>
    <row r="22" spans="2:17" s="1" customFormat="1" ht="20.25" customHeight="1" x14ac:dyDescent="0.3">
      <c r="B22" s="79" t="s">
        <v>115</v>
      </c>
      <c r="C22" s="16"/>
      <c r="D22" s="91">
        <v>208</v>
      </c>
      <c r="E22" s="80">
        <f t="shared" si="0"/>
        <v>8.3500602167804097E-2</v>
      </c>
      <c r="F22" s="115">
        <v>832</v>
      </c>
      <c r="G22" s="51">
        <v>0.64583333333333304</v>
      </c>
      <c r="H22" s="38" t="s">
        <v>14</v>
      </c>
      <c r="I22" s="39"/>
      <c r="J22" s="40">
        <f t="shared" si="1"/>
        <v>0</v>
      </c>
      <c r="K22" s="86">
        <f t="shared" si="3"/>
        <v>0</v>
      </c>
      <c r="L22" s="39">
        <v>81.599999999999994</v>
      </c>
      <c r="M22" s="1">
        <v>34</v>
      </c>
      <c r="N22" s="39">
        <v>80.2</v>
      </c>
      <c r="O22" s="39">
        <v>28.6</v>
      </c>
      <c r="P22" s="39">
        <f t="shared" si="2"/>
        <v>0</v>
      </c>
      <c r="Q22" s="84"/>
    </row>
    <row r="23" spans="2:17" s="1" customFormat="1" ht="20.25" customHeight="1" x14ac:dyDescent="0.3">
      <c r="B23" s="79" t="s">
        <v>113</v>
      </c>
      <c r="C23" s="16"/>
      <c r="D23" s="91">
        <v>125</v>
      </c>
      <c r="E23" s="80">
        <f t="shared" si="0"/>
        <v>5.0180650341228421E-2</v>
      </c>
      <c r="F23" s="115">
        <v>500</v>
      </c>
      <c r="G23" s="51">
        <v>0.6875</v>
      </c>
      <c r="H23" s="38" t="s">
        <v>14</v>
      </c>
      <c r="I23" s="39"/>
      <c r="J23" s="40">
        <f t="shared" si="1"/>
        <v>0</v>
      </c>
      <c r="K23" s="86">
        <f t="shared" si="3"/>
        <v>0</v>
      </c>
      <c r="L23" s="39">
        <v>80.900000000000006</v>
      </c>
      <c r="M23" s="1">
        <v>33</v>
      </c>
      <c r="N23" s="39">
        <v>80.400000000000006</v>
      </c>
      <c r="O23" s="39">
        <v>28.5</v>
      </c>
      <c r="P23" s="39">
        <f t="shared" si="2"/>
        <v>0</v>
      </c>
      <c r="Q23" s="84"/>
    </row>
    <row r="24" spans="2:17" s="1" customFormat="1" ht="20.25" customHeight="1" x14ac:dyDescent="0.3">
      <c r="B24" s="79" t="s">
        <v>114</v>
      </c>
      <c r="C24" s="16"/>
      <c r="D24" s="91">
        <v>83</v>
      </c>
      <c r="E24" s="80">
        <f t="shared" si="0"/>
        <v>3.3319951826575669E-2</v>
      </c>
      <c r="F24" s="115">
        <v>332</v>
      </c>
      <c r="G24" s="51">
        <v>0.70833333333333337</v>
      </c>
      <c r="H24" s="38" t="s">
        <v>14</v>
      </c>
      <c r="I24" s="39"/>
      <c r="J24" s="40">
        <f t="shared" si="1"/>
        <v>0</v>
      </c>
      <c r="K24" s="86">
        <f t="shared" si="3"/>
        <v>0</v>
      </c>
      <c r="L24" s="39">
        <v>78.5</v>
      </c>
      <c r="M24" s="1">
        <v>32.6</v>
      </c>
      <c r="N24" s="39">
        <v>81.2</v>
      </c>
      <c r="O24" s="39">
        <v>28.9</v>
      </c>
      <c r="P24" s="39">
        <f t="shared" si="2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83</v>
      </c>
      <c r="E25" s="80">
        <f t="shared" si="0"/>
        <v>3.3319951826575669E-2</v>
      </c>
      <c r="F25" s="115">
        <v>332</v>
      </c>
      <c r="G25" s="51"/>
      <c r="H25" s="38" t="s">
        <v>14</v>
      </c>
      <c r="I25" s="39"/>
      <c r="J25" s="40">
        <f t="shared" si="1"/>
        <v>0</v>
      </c>
      <c r="K25" s="86">
        <f t="shared" si="3"/>
        <v>0</v>
      </c>
      <c r="L25" s="39"/>
      <c r="N25" s="39"/>
      <c r="O25" s="39"/>
      <c r="P25" s="39">
        <f t="shared" si="2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63</v>
      </c>
      <c r="E26" s="80">
        <f t="shared" si="0"/>
        <v>2.5291047771979124E-2</v>
      </c>
      <c r="F26" s="115">
        <v>252</v>
      </c>
      <c r="G26" s="51"/>
      <c r="H26" s="38" t="s">
        <v>14</v>
      </c>
      <c r="I26" s="39"/>
      <c r="J26" s="40">
        <f t="shared" si="1"/>
        <v>0</v>
      </c>
      <c r="K26" s="86">
        <f t="shared" si="3"/>
        <v>0</v>
      </c>
      <c r="L26" s="39"/>
      <c r="M26" s="39"/>
      <c r="N26" s="39"/>
      <c r="O26" s="39"/>
      <c r="P26" s="39">
        <f t="shared" si="2"/>
        <v>0</v>
      </c>
      <c r="Q26" s="84"/>
    </row>
    <row r="27" spans="2:17" s="1" customFormat="1" ht="20.25" customHeight="1" x14ac:dyDescent="0.3">
      <c r="B27" s="79" t="s">
        <v>51</v>
      </c>
      <c r="C27" s="16" t="s">
        <v>65</v>
      </c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f t="shared" si="1"/>
        <v>0</v>
      </c>
      <c r="K27" s="86">
        <f t="shared" si="3"/>
        <v>0</v>
      </c>
      <c r="L27" s="39"/>
      <c r="M27" s="39"/>
      <c r="N27" s="39"/>
      <c r="O27" s="39"/>
      <c r="P27" s="39">
        <f t="shared" si="2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f t="shared" si="1"/>
        <v>0</v>
      </c>
      <c r="K28" s="86">
        <f t="shared" si="3"/>
        <v>0</v>
      </c>
      <c r="L28" s="39"/>
      <c r="M28" s="39"/>
      <c r="N28" s="39"/>
      <c r="O28" s="39"/>
      <c r="P28" s="39">
        <f t="shared" si="2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>
        <v>21</v>
      </c>
      <c r="E29" s="80">
        <f t="shared" si="0"/>
        <v>8.4303492573263757E-3</v>
      </c>
      <c r="F29" s="115">
        <v>84</v>
      </c>
      <c r="G29" s="51"/>
      <c r="H29" s="38" t="s">
        <v>14</v>
      </c>
      <c r="I29" s="39"/>
      <c r="J29" s="40">
        <f t="shared" si="1"/>
        <v>0</v>
      </c>
      <c r="K29" s="86">
        <f t="shared" si="3"/>
        <v>0</v>
      </c>
      <c r="L29" s="39"/>
      <c r="M29" s="39"/>
      <c r="N29" s="39"/>
      <c r="O29" s="39"/>
      <c r="P29" s="39">
        <f t="shared" si="2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21</v>
      </c>
      <c r="E30" s="80">
        <f t="shared" si="0"/>
        <v>8.4303492573263757E-3</v>
      </c>
      <c r="F30" s="115">
        <v>84</v>
      </c>
      <c r="G30" s="51"/>
      <c r="H30" s="38" t="s">
        <v>14</v>
      </c>
      <c r="I30" s="39"/>
      <c r="J30" s="40">
        <f t="shared" si="1"/>
        <v>0</v>
      </c>
      <c r="K30" s="86">
        <f t="shared" si="3"/>
        <v>0</v>
      </c>
      <c r="L30" s="39"/>
      <c r="M30" s="39"/>
      <c r="N30" s="39"/>
      <c r="O30" s="39"/>
      <c r="P30" s="39">
        <f t="shared" si="2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/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>
        <f>SUM(I13:I30)</f>
        <v>2</v>
      </c>
      <c r="J34" s="36">
        <f>100%-K34</f>
        <v>1</v>
      </c>
      <c r="K34" s="36">
        <f>K30/I34</f>
        <v>0</v>
      </c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52</v>
      </c>
      <c r="E36" s="80">
        <f t="shared" si="0"/>
        <v>2.0875150541951024E-2</v>
      </c>
      <c r="F36" s="115">
        <v>108</v>
      </c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146</v>
      </c>
      <c r="J37" s="45">
        <f>SUM(I15)</f>
        <v>2</v>
      </c>
      <c r="K37" s="46">
        <f>J37/(J37+J38+J39)</f>
        <v>1</v>
      </c>
      <c r="L37" s="111">
        <f>M37/J37</f>
        <v>0</v>
      </c>
      <c r="M37" s="96">
        <f>SUM(P15+P16)</f>
        <v>0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2491</v>
      </c>
      <c r="E38" s="82">
        <f>SUM(E15:E37)</f>
        <v>0.99999999999999989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0</v>
      </c>
      <c r="K38" s="46">
        <f>J38/(J38+J39+J37)</f>
        <v>0</v>
      </c>
      <c r="L38" s="111" t="e">
        <f>M38/J38</f>
        <v>#DIV/0!</v>
      </c>
      <c r="M38" s="96">
        <f>SUM(P18:P30)</f>
        <v>0</v>
      </c>
      <c r="N38" s="5"/>
      <c r="O38" s="5"/>
      <c r="P38" s="34"/>
    </row>
    <row r="39" spans="2:17" s="1" customFormat="1" x14ac:dyDescent="0.3">
      <c r="C39" s="89" t="s">
        <v>78</v>
      </c>
      <c r="D39" s="131" t="e">
        <f>D38/F12</f>
        <v>#DIV/0!</v>
      </c>
      <c r="G39" s="10" t="s">
        <v>41</v>
      </c>
      <c r="H39" s="54" t="s">
        <v>94</v>
      </c>
      <c r="I39" s="53" t="s">
        <v>147</v>
      </c>
      <c r="J39" s="55">
        <f>SUM(I18:I30)</f>
        <v>0</v>
      </c>
      <c r="K39" s="94">
        <f>J39/(J39+J38+J37)</f>
        <v>0</v>
      </c>
      <c r="L39" s="111" t="e">
        <f>M39/J39</f>
        <v>#DIV/0!</v>
      </c>
      <c r="M39" s="96">
        <f>SUM(P19:P31)</f>
        <v>0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2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0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>
        <v>44893</v>
      </c>
      <c r="I44" s="45">
        <v>81.67</v>
      </c>
      <c r="J44" s="19">
        <v>77</v>
      </c>
      <c r="K44" s="88">
        <f>I44+J44</f>
        <v>158.67000000000002</v>
      </c>
      <c r="L44" s="95">
        <v>0.42399999999999999</v>
      </c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158.67000000000002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158.67000000000002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158.67000000000002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81.67</v>
      </c>
      <c r="J48" s="35">
        <f>SUM(J44:J47)</f>
        <v>77</v>
      </c>
      <c r="K48" s="101">
        <f>K47</f>
        <v>158.67000000000002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4">K51+J52</f>
        <v>#REF!</v>
      </c>
      <c r="L52" s="95"/>
      <c r="M52" s="96" t="e">
        <f t="shared" ref="M52:M57" si="5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4"/>
        <v>#REF!</v>
      </c>
      <c r="L53" s="56"/>
      <c r="M53" s="96" t="e">
        <f t="shared" si="5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4"/>
        <v>#REF!</v>
      </c>
      <c r="L54" s="56"/>
      <c r="M54" s="96" t="e">
        <f t="shared" si="5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4"/>
        <v>#REF!</v>
      </c>
      <c r="L55" s="56"/>
      <c r="M55" s="96" t="e">
        <f t="shared" si="5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4"/>
        <v>#REF!</v>
      </c>
      <c r="L56" s="56"/>
      <c r="M56" s="96" t="e">
        <f t="shared" si="5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4"/>
        <v>#REF!</v>
      </c>
      <c r="L57" s="56"/>
      <c r="M57" s="96" t="e">
        <f t="shared" si="5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59E2-5D4A-48C9-A200-73889A1EB5B9}">
  <sheetPr>
    <pageSetUpPr fitToPage="1"/>
  </sheetPr>
  <dimension ref="B1:Q61"/>
  <sheetViews>
    <sheetView workbookViewId="0">
      <selection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137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103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44668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 t="s">
        <v>135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136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1060</v>
      </c>
      <c r="E9" s="30">
        <v>0.48</v>
      </c>
      <c r="F9" s="75">
        <f>D9*E9</f>
        <v>508.79999999999995</v>
      </c>
      <c r="G9" s="132">
        <f>D9/$D12</f>
        <v>1</v>
      </c>
      <c r="H9" s="27" t="s">
        <v>23</v>
      </c>
      <c r="I9" s="138" t="s">
        <v>26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/>
      <c r="E10" s="30">
        <v>0</v>
      </c>
      <c r="F10" s="75"/>
      <c r="G10" s="132">
        <f>D10/D$12</f>
        <v>0</v>
      </c>
      <c r="H10" s="27" t="s">
        <v>46</v>
      </c>
      <c r="I10" s="138" t="s">
        <v>67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/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SUM(D9:D9)</f>
        <v>1060</v>
      </c>
      <c r="E12" s="103">
        <f>F9/D12</f>
        <v>0.48</v>
      </c>
      <c r="F12" s="76">
        <f>D12*E12</f>
        <v>508.79999999999995</v>
      </c>
      <c r="G12" s="5"/>
      <c r="H12" s="29" t="s">
        <v>25</v>
      </c>
      <c r="I12" s="138" t="s">
        <v>86</v>
      </c>
      <c r="J12" s="139"/>
      <c r="K12" s="140"/>
    </row>
    <row r="13" spans="2:17" s="1" customFormat="1" ht="15" thickBot="1" x14ac:dyDescent="0.35">
      <c r="B13" s="3"/>
      <c r="C13"/>
      <c r="D13" s="1" t="s">
        <v>138</v>
      </c>
      <c r="E13" s="1" t="s">
        <v>138</v>
      </c>
      <c r="F13" s="1" t="s">
        <v>138</v>
      </c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1563</v>
      </c>
      <c r="E15" s="80">
        <f>D15/D$38</f>
        <v>0.62745885186672024</v>
      </c>
      <c r="F15" s="115">
        <v>6250</v>
      </c>
      <c r="G15" s="51"/>
      <c r="H15" s="38" t="s">
        <v>27</v>
      </c>
      <c r="I15" s="39">
        <v>1.5</v>
      </c>
      <c r="J15" s="40">
        <f>I15/I$34</f>
        <v>0.5</v>
      </c>
      <c r="K15" s="41"/>
      <c r="L15" s="39"/>
      <c r="M15" s="39"/>
      <c r="N15" s="39"/>
      <c r="O15" s="38"/>
      <c r="P15" s="39">
        <f>I15*L15/100</f>
        <v>0</v>
      </c>
      <c r="Q15" s="84" t="s">
        <v>88</v>
      </c>
    </row>
    <row r="16" spans="2:17" s="1" customFormat="1" ht="20.25" customHeight="1" outlineLevel="1" x14ac:dyDescent="0.3">
      <c r="B16" s="79" t="s">
        <v>104</v>
      </c>
      <c r="C16" s="16" t="s">
        <v>105</v>
      </c>
      <c r="D16" s="91">
        <v>125</v>
      </c>
      <c r="E16" s="80">
        <f t="shared" ref="E16:E37" si="0">D16/D$38</f>
        <v>5.0180650341228421E-2</v>
      </c>
      <c r="F16" s="115">
        <v>625</v>
      </c>
      <c r="G16" s="51"/>
      <c r="H16" s="38" t="s">
        <v>28</v>
      </c>
      <c r="I16" s="39">
        <v>1.5</v>
      </c>
      <c r="J16" s="40">
        <f t="shared" ref="J16:J30" si="1">I16/I$34</f>
        <v>0.5</v>
      </c>
      <c r="K16" s="41"/>
      <c r="L16" s="39"/>
      <c r="M16" s="39"/>
      <c r="N16" s="39"/>
      <c r="O16" s="38"/>
      <c r="P16" s="39">
        <f>I16*L16/100</f>
        <v>0</v>
      </c>
      <c r="Q16" s="84"/>
    </row>
    <row r="17" spans="2:17" s="1" customFormat="1" ht="20.25" customHeight="1" outlineLevel="1" x14ac:dyDescent="0.3">
      <c r="B17" s="79" t="s">
        <v>60</v>
      </c>
      <c r="C17" s="16"/>
      <c r="D17" s="91">
        <v>42</v>
      </c>
      <c r="E17" s="80">
        <f t="shared" si="0"/>
        <v>1.6860698514652751E-2</v>
      </c>
      <c r="F17" s="115">
        <v>168</v>
      </c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/>
      <c r="H18" s="38" t="s">
        <v>14</v>
      </c>
      <c r="I18" s="39" t="s">
        <v>134</v>
      </c>
      <c r="J18" s="40" t="e">
        <f t="shared" si="1"/>
        <v>#VALUE!</v>
      </c>
      <c r="K18" s="86" t="str">
        <f>I18</f>
        <v>280 APPROX</v>
      </c>
      <c r="L18" s="39"/>
      <c r="M18" s="39"/>
      <c r="N18" s="39"/>
      <c r="O18" s="38"/>
      <c r="P18" s="39" t="e">
        <f t="shared" ref="P18:P30" si="2">I18*L18/100</f>
        <v>#VALUE!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/>
      <c r="H19" s="38" t="s">
        <v>14</v>
      </c>
      <c r="I19" s="39"/>
      <c r="J19" s="40">
        <f t="shared" si="1"/>
        <v>0</v>
      </c>
      <c r="K19" s="86" t="e">
        <f>K18+I19</f>
        <v>#VALUE!</v>
      </c>
      <c r="L19" s="39"/>
      <c r="M19" s="39"/>
      <c r="N19" s="39"/>
      <c r="O19" s="39"/>
      <c r="P19" s="39">
        <f t="shared" si="2"/>
        <v>0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63</v>
      </c>
      <c r="E20" s="80">
        <f t="shared" si="0"/>
        <v>2.5291047771979124E-2</v>
      </c>
      <c r="F20" s="115">
        <v>252</v>
      </c>
      <c r="G20" s="51"/>
      <c r="H20" s="38" t="s">
        <v>14</v>
      </c>
      <c r="I20" s="39"/>
      <c r="J20" s="40">
        <f t="shared" si="1"/>
        <v>0</v>
      </c>
      <c r="K20" s="86" t="e">
        <f t="shared" ref="K20:K30" si="3">K19+I20</f>
        <v>#VALUE!</v>
      </c>
      <c r="L20" s="39"/>
      <c r="M20" s="39"/>
      <c r="N20" s="39"/>
      <c r="O20" s="39"/>
      <c r="P20" s="39">
        <f t="shared" si="2"/>
        <v>0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42</v>
      </c>
      <c r="E21" s="80">
        <f t="shared" si="0"/>
        <v>1.6860698514652751E-2</v>
      </c>
      <c r="F21" s="115">
        <v>168</v>
      </c>
      <c r="G21" s="51"/>
      <c r="H21" s="38" t="s">
        <v>14</v>
      </c>
      <c r="I21" s="39"/>
      <c r="J21" s="40">
        <f t="shared" si="1"/>
        <v>0</v>
      </c>
      <c r="K21" s="86" t="e">
        <f t="shared" si="3"/>
        <v>#VALUE!</v>
      </c>
      <c r="L21" s="39"/>
      <c r="M21" s="39"/>
      <c r="N21" s="39"/>
      <c r="O21" s="39"/>
      <c r="P21" s="39">
        <f t="shared" si="2"/>
        <v>0</v>
      </c>
      <c r="Q21" s="84"/>
    </row>
    <row r="22" spans="2:17" s="1" customFormat="1" ht="20.25" customHeight="1" x14ac:dyDescent="0.3">
      <c r="B22" s="79" t="s">
        <v>115</v>
      </c>
      <c r="C22" s="16"/>
      <c r="D22" s="91">
        <v>208</v>
      </c>
      <c r="E22" s="80">
        <f t="shared" si="0"/>
        <v>8.3500602167804097E-2</v>
      </c>
      <c r="F22" s="115">
        <v>832</v>
      </c>
      <c r="G22" s="51"/>
      <c r="H22" s="38" t="s">
        <v>14</v>
      </c>
      <c r="I22" s="39"/>
      <c r="J22" s="40">
        <f t="shared" si="1"/>
        <v>0</v>
      </c>
      <c r="K22" s="86" t="e">
        <f t="shared" si="3"/>
        <v>#VALUE!</v>
      </c>
      <c r="L22" s="39"/>
      <c r="M22" s="39"/>
      <c r="N22" s="39"/>
      <c r="O22" s="39"/>
      <c r="P22" s="39">
        <f t="shared" si="2"/>
        <v>0</v>
      </c>
      <c r="Q22" s="84"/>
    </row>
    <row r="23" spans="2:17" s="1" customFormat="1" ht="20.25" customHeight="1" x14ac:dyDescent="0.3">
      <c r="B23" s="79" t="s">
        <v>113</v>
      </c>
      <c r="C23" s="16"/>
      <c r="D23" s="91">
        <v>125</v>
      </c>
      <c r="E23" s="80">
        <f t="shared" si="0"/>
        <v>5.0180650341228421E-2</v>
      </c>
      <c r="F23" s="115">
        <v>500</v>
      </c>
      <c r="G23" s="51"/>
      <c r="H23" s="38" t="s">
        <v>14</v>
      </c>
      <c r="I23" s="39"/>
      <c r="J23" s="40">
        <f t="shared" si="1"/>
        <v>0</v>
      </c>
      <c r="K23" s="86" t="e">
        <f t="shared" si="3"/>
        <v>#VALUE!</v>
      </c>
      <c r="L23" s="39"/>
      <c r="M23" s="39"/>
      <c r="N23" s="39"/>
      <c r="O23" s="39"/>
      <c r="P23" s="39">
        <f t="shared" si="2"/>
        <v>0</v>
      </c>
      <c r="Q23" s="84"/>
    </row>
    <row r="24" spans="2:17" s="1" customFormat="1" ht="20.25" customHeight="1" x14ac:dyDescent="0.3">
      <c r="B24" s="79" t="s">
        <v>114</v>
      </c>
      <c r="C24" s="16"/>
      <c r="D24" s="91">
        <v>83</v>
      </c>
      <c r="E24" s="80">
        <f t="shared" si="0"/>
        <v>3.3319951826575669E-2</v>
      </c>
      <c r="F24" s="115">
        <v>332</v>
      </c>
      <c r="G24" s="51"/>
      <c r="H24" s="38" t="s">
        <v>14</v>
      </c>
      <c r="I24" s="39"/>
      <c r="J24" s="40">
        <f t="shared" si="1"/>
        <v>0</v>
      </c>
      <c r="K24" s="86" t="e">
        <f t="shared" si="3"/>
        <v>#VALUE!</v>
      </c>
      <c r="L24" s="39"/>
      <c r="M24" s="39"/>
      <c r="N24" s="39"/>
      <c r="O24" s="39"/>
      <c r="P24" s="39">
        <f t="shared" si="2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83</v>
      </c>
      <c r="E25" s="80">
        <f t="shared" si="0"/>
        <v>3.3319951826575669E-2</v>
      </c>
      <c r="F25" s="115">
        <v>332</v>
      </c>
      <c r="G25" s="51"/>
      <c r="H25" s="38" t="s">
        <v>14</v>
      </c>
      <c r="I25" s="39"/>
      <c r="J25" s="40">
        <f t="shared" si="1"/>
        <v>0</v>
      </c>
      <c r="K25" s="86" t="e">
        <f t="shared" si="3"/>
        <v>#VALUE!</v>
      </c>
      <c r="L25" s="39"/>
      <c r="M25" s="39"/>
      <c r="N25" s="39"/>
      <c r="O25" s="39"/>
      <c r="P25" s="39">
        <f t="shared" si="2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63</v>
      </c>
      <c r="E26" s="80">
        <f t="shared" si="0"/>
        <v>2.5291047771979124E-2</v>
      </c>
      <c r="F26" s="115">
        <v>252</v>
      </c>
      <c r="G26" s="51"/>
      <c r="H26" s="38" t="s">
        <v>14</v>
      </c>
      <c r="I26" s="39"/>
      <c r="J26" s="40">
        <f t="shared" si="1"/>
        <v>0</v>
      </c>
      <c r="K26" s="86" t="e">
        <f t="shared" si="3"/>
        <v>#VALUE!</v>
      </c>
      <c r="L26" s="39"/>
      <c r="M26" s="39"/>
      <c r="N26" s="39"/>
      <c r="O26" s="39"/>
      <c r="P26" s="39">
        <f t="shared" si="2"/>
        <v>0</v>
      </c>
      <c r="Q26" s="84"/>
    </row>
    <row r="27" spans="2:17" s="1" customFormat="1" ht="20.25" customHeight="1" x14ac:dyDescent="0.3">
      <c r="B27" s="79" t="s">
        <v>51</v>
      </c>
      <c r="C27" s="16" t="s">
        <v>65</v>
      </c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f t="shared" si="1"/>
        <v>0</v>
      </c>
      <c r="K27" s="86" t="e">
        <f t="shared" si="3"/>
        <v>#VALUE!</v>
      </c>
      <c r="L27" s="39"/>
      <c r="M27" s="39"/>
      <c r="N27" s="39"/>
      <c r="O27" s="39"/>
      <c r="P27" s="39">
        <f t="shared" si="2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f t="shared" si="1"/>
        <v>0</v>
      </c>
      <c r="K28" s="86" t="e">
        <f t="shared" si="3"/>
        <v>#VALUE!</v>
      </c>
      <c r="L28" s="39"/>
      <c r="M28" s="39"/>
      <c r="N28" s="39"/>
      <c r="O28" s="39"/>
      <c r="P28" s="39">
        <f t="shared" si="2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>
        <v>21</v>
      </c>
      <c r="E29" s="80">
        <f t="shared" si="0"/>
        <v>8.4303492573263757E-3</v>
      </c>
      <c r="F29" s="115">
        <v>84</v>
      </c>
      <c r="G29" s="51"/>
      <c r="H29" s="38" t="s">
        <v>14</v>
      </c>
      <c r="I29" s="39"/>
      <c r="J29" s="40">
        <f t="shared" si="1"/>
        <v>0</v>
      </c>
      <c r="K29" s="86" t="e">
        <f t="shared" si="3"/>
        <v>#VALUE!</v>
      </c>
      <c r="L29" s="39"/>
      <c r="M29" s="39"/>
      <c r="N29" s="39"/>
      <c r="O29" s="39"/>
      <c r="P29" s="39">
        <f t="shared" si="2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21</v>
      </c>
      <c r="E30" s="80">
        <f t="shared" si="0"/>
        <v>8.4303492573263757E-3</v>
      </c>
      <c r="F30" s="115">
        <v>84</v>
      </c>
      <c r="G30" s="51"/>
      <c r="H30" s="38" t="s">
        <v>14</v>
      </c>
      <c r="I30" s="39"/>
      <c r="J30" s="40">
        <f t="shared" si="1"/>
        <v>0</v>
      </c>
      <c r="K30" s="86" t="e">
        <f t="shared" si="3"/>
        <v>#VALUE!</v>
      </c>
      <c r="L30" s="39"/>
      <c r="M30" s="39"/>
      <c r="N30" s="39"/>
      <c r="O30" s="39"/>
      <c r="P30" s="39">
        <f t="shared" si="2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/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>
        <f>SUM(I13:I30)</f>
        <v>3</v>
      </c>
      <c r="J34" s="36" t="e">
        <f>100%-K34</f>
        <v>#VALUE!</v>
      </c>
      <c r="K34" s="36" t="e">
        <f>K30/I34</f>
        <v>#VALUE!</v>
      </c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52</v>
      </c>
      <c r="E36" s="80">
        <f t="shared" si="0"/>
        <v>2.0875150541951024E-2</v>
      </c>
      <c r="F36" s="115">
        <v>108</v>
      </c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1.5</v>
      </c>
      <c r="K37" s="46">
        <f>J37/(J37+J38+J39)</f>
        <v>0.5</v>
      </c>
      <c r="L37" s="111">
        <f>M37/J37</f>
        <v>0</v>
      </c>
      <c r="M37" s="96">
        <f>SUM(P15+P16)</f>
        <v>0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2491</v>
      </c>
      <c r="E38" s="82">
        <f>SUM(E15:E37)</f>
        <v>0.99999999999999989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1.5</v>
      </c>
      <c r="K38" s="46">
        <f>J38/(J38+J39+J37)</f>
        <v>0.5</v>
      </c>
      <c r="L38" s="111" t="e">
        <f>M38/J38</f>
        <v>#VALUE!</v>
      </c>
      <c r="M38" s="96" t="e">
        <f>SUM(P18:P30)</f>
        <v>#VALUE!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4.8958333333333339</v>
      </c>
      <c r="G39" s="10" t="s">
        <v>41</v>
      </c>
      <c r="H39" s="54" t="s">
        <v>94</v>
      </c>
      <c r="I39" s="53" t="s">
        <v>97</v>
      </c>
      <c r="J39" s="55">
        <f>SUM(I18:I30)</f>
        <v>0</v>
      </c>
      <c r="K39" s="94">
        <f>J39/(J39+J38+J37)</f>
        <v>0</v>
      </c>
      <c r="L39" s="111" t="e">
        <f>M39/J39</f>
        <v>#DIV/0!</v>
      </c>
      <c r="M39" s="96">
        <f>SUM(P19:P31)</f>
        <v>0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3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0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 t="s">
        <v>140</v>
      </c>
      <c r="I44" s="45" t="s">
        <v>141</v>
      </c>
      <c r="J44" s="19">
        <v>300</v>
      </c>
      <c r="K44" s="88" t="e">
        <f>I44+J44</f>
        <v>#VALUE!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>
        <v>3</v>
      </c>
      <c r="K45" s="88" t="e">
        <f>K44+J45</f>
        <v>#VALUE!</v>
      </c>
      <c r="L45" s="95"/>
      <c r="M45" s="96"/>
      <c r="N45" s="128">
        <v>334</v>
      </c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 t="e">
        <f>K45+J46</f>
        <v>#VALUE!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 t="e">
        <f>K46+J47</f>
        <v>#VALUE!</v>
      </c>
      <c r="L47" s="44"/>
      <c r="M47" s="96" t="e">
        <f>K47*L47</f>
        <v>#VALUE!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0</v>
      </c>
      <c r="J48" s="35">
        <f>SUM(J44:J47)</f>
        <v>303</v>
      </c>
      <c r="K48" s="101" t="e">
        <f>K47</f>
        <v>#VALUE!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4">K51+J52</f>
        <v>#REF!</v>
      </c>
      <c r="L52" s="95"/>
      <c r="M52" s="96" t="e">
        <f t="shared" ref="M52:M57" si="5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4"/>
        <v>#REF!</v>
      </c>
      <c r="L53" s="56"/>
      <c r="M53" s="96" t="e">
        <f t="shared" si="5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4"/>
        <v>#REF!</v>
      </c>
      <c r="L54" s="56"/>
      <c r="M54" s="96" t="e">
        <f t="shared" si="5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4"/>
        <v>#REF!</v>
      </c>
      <c r="L55" s="56"/>
      <c r="M55" s="96" t="e">
        <f t="shared" si="5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4"/>
        <v>#REF!</v>
      </c>
      <c r="L56" s="56"/>
      <c r="M56" s="96" t="e">
        <f t="shared" si="5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4"/>
        <v>#REF!</v>
      </c>
      <c r="L57" s="56"/>
      <c r="M57" s="96" t="e">
        <f t="shared" si="5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8BB6-DE1B-4E31-AAC8-4CC9E3FD613C}">
  <sheetPr>
    <pageSetUpPr fitToPage="1"/>
  </sheetPr>
  <dimension ref="B1:Q61"/>
  <sheetViews>
    <sheetView workbookViewId="0">
      <selection sqref="A1:XFD1048576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0.441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102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103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/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/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85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105</v>
      </c>
      <c r="E9" s="30">
        <v>0.96</v>
      </c>
      <c r="F9" s="75">
        <f>D9*E9</f>
        <v>100.8</v>
      </c>
      <c r="G9" s="132">
        <f>D9/$D12</f>
        <v>0.42</v>
      </c>
      <c r="H9" s="27" t="s">
        <v>23</v>
      </c>
      <c r="I9" s="138" t="s">
        <v>26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145</v>
      </c>
      <c r="E10" s="30">
        <v>0</v>
      </c>
      <c r="F10" s="75"/>
      <c r="G10" s="132">
        <f>D10/D$12</f>
        <v>0.57999999999999996</v>
      </c>
      <c r="H10" s="27" t="s">
        <v>46</v>
      </c>
      <c r="I10" s="138" t="s">
        <v>67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250</v>
      </c>
      <c r="E12" s="103">
        <f>F9/D12</f>
        <v>0.4032</v>
      </c>
      <c r="F12" s="76">
        <f>D12*E12</f>
        <v>100.8</v>
      </c>
      <c r="G12" s="5"/>
      <c r="H12" s="29" t="s">
        <v>25</v>
      </c>
      <c r="I12" s="138" t="s">
        <v>86</v>
      </c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1563</v>
      </c>
      <c r="E15" s="80">
        <f>D15/D$38</f>
        <v>0.62745885186672024</v>
      </c>
      <c r="F15" s="115">
        <v>6250</v>
      </c>
      <c r="G15" s="51"/>
      <c r="H15" s="38" t="s">
        <v>27</v>
      </c>
      <c r="I15" s="39">
        <v>1.5</v>
      </c>
      <c r="J15" s="40">
        <f>I15/I$34</f>
        <v>0.3</v>
      </c>
      <c r="K15" s="41"/>
      <c r="L15" s="39"/>
      <c r="M15" s="39"/>
      <c r="N15" s="39"/>
      <c r="O15" s="38"/>
      <c r="P15" s="39">
        <f>I15*L15/100</f>
        <v>0</v>
      </c>
      <c r="Q15" s="84" t="s">
        <v>88</v>
      </c>
    </row>
    <row r="16" spans="2:17" s="1" customFormat="1" ht="20.25" customHeight="1" outlineLevel="1" x14ac:dyDescent="0.3">
      <c r="B16" s="79" t="s">
        <v>104</v>
      </c>
      <c r="C16" s="16" t="s">
        <v>105</v>
      </c>
      <c r="D16" s="91">
        <v>125</v>
      </c>
      <c r="E16" s="80">
        <f t="shared" ref="E16:E37" si="0">D16/D$38</f>
        <v>5.0180650341228421E-2</v>
      </c>
      <c r="F16" s="115">
        <v>625</v>
      </c>
      <c r="G16" s="51"/>
      <c r="H16" s="38" t="s">
        <v>28</v>
      </c>
      <c r="I16" s="39">
        <v>1.5</v>
      </c>
      <c r="J16" s="40">
        <f t="shared" ref="J16:J30" si="1">I16/I$34</f>
        <v>0.3</v>
      </c>
      <c r="K16" s="41"/>
      <c r="L16" s="39"/>
      <c r="M16" s="39"/>
      <c r="N16" s="39"/>
      <c r="O16" s="38"/>
      <c r="P16" s="39">
        <f>I16*L16/100</f>
        <v>0</v>
      </c>
      <c r="Q16" s="84"/>
    </row>
    <row r="17" spans="2:17" s="1" customFormat="1" ht="20.25" customHeight="1" outlineLevel="1" x14ac:dyDescent="0.3">
      <c r="B17" s="79" t="s">
        <v>60</v>
      </c>
      <c r="C17" s="16"/>
      <c r="D17" s="91">
        <v>42</v>
      </c>
      <c r="E17" s="80">
        <f t="shared" si="0"/>
        <v>1.6860698514652751E-2</v>
      </c>
      <c r="F17" s="115">
        <v>168</v>
      </c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/>
      <c r="H18" s="38" t="s">
        <v>14</v>
      </c>
      <c r="I18" s="39">
        <v>2</v>
      </c>
      <c r="J18" s="40">
        <f t="shared" si="1"/>
        <v>0.4</v>
      </c>
      <c r="K18" s="86">
        <f>I18</f>
        <v>2</v>
      </c>
      <c r="L18" s="39"/>
      <c r="M18" s="39"/>
      <c r="N18" s="39"/>
      <c r="O18" s="38"/>
      <c r="P18" s="39">
        <f t="shared" ref="P18:P30" si="2">I18*L18/100</f>
        <v>0</v>
      </c>
      <c r="Q18" s="84"/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/>
      <c r="H19" s="38" t="s">
        <v>14</v>
      </c>
      <c r="I19" s="39"/>
      <c r="J19" s="40">
        <f t="shared" si="1"/>
        <v>0</v>
      </c>
      <c r="K19" s="86">
        <f>K18+I19</f>
        <v>2</v>
      </c>
      <c r="L19" s="39"/>
      <c r="M19" s="39"/>
      <c r="N19" s="39"/>
      <c r="O19" s="39"/>
      <c r="P19" s="39">
        <f t="shared" si="2"/>
        <v>0</v>
      </c>
      <c r="Q19" s="84"/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63</v>
      </c>
      <c r="E20" s="80">
        <f t="shared" si="0"/>
        <v>2.5291047771979124E-2</v>
      </c>
      <c r="F20" s="115">
        <v>252</v>
      </c>
      <c r="G20" s="51"/>
      <c r="H20" s="38" t="s">
        <v>14</v>
      </c>
      <c r="I20" s="39"/>
      <c r="J20" s="40">
        <f t="shared" si="1"/>
        <v>0</v>
      </c>
      <c r="K20" s="86">
        <f t="shared" ref="K20:K30" si="3">K19+I20</f>
        <v>2</v>
      </c>
      <c r="L20" s="39"/>
      <c r="M20" s="39"/>
      <c r="N20" s="39"/>
      <c r="O20" s="39"/>
      <c r="P20" s="39">
        <f t="shared" si="2"/>
        <v>0</v>
      </c>
      <c r="Q20" s="84"/>
    </row>
    <row r="21" spans="2:17" s="1" customFormat="1" ht="20.25" customHeight="1" x14ac:dyDescent="0.3">
      <c r="B21" s="79" t="s">
        <v>109</v>
      </c>
      <c r="C21" s="16" t="s">
        <v>110</v>
      </c>
      <c r="D21" s="91">
        <v>42</v>
      </c>
      <c r="E21" s="80">
        <f t="shared" si="0"/>
        <v>1.6860698514652751E-2</v>
      </c>
      <c r="F21" s="115">
        <v>168</v>
      </c>
      <c r="G21" s="51"/>
      <c r="H21" s="38" t="s">
        <v>14</v>
      </c>
      <c r="I21" s="39"/>
      <c r="J21" s="40">
        <f t="shared" si="1"/>
        <v>0</v>
      </c>
      <c r="K21" s="86">
        <f t="shared" si="3"/>
        <v>2</v>
      </c>
      <c r="L21" s="39"/>
      <c r="M21" s="39"/>
      <c r="N21" s="39"/>
      <c r="O21" s="39"/>
      <c r="P21" s="39">
        <f t="shared" si="2"/>
        <v>0</v>
      </c>
      <c r="Q21" s="84"/>
    </row>
    <row r="22" spans="2:17" s="1" customFormat="1" ht="20.25" customHeight="1" x14ac:dyDescent="0.3">
      <c r="B22" s="79" t="s">
        <v>115</v>
      </c>
      <c r="C22" s="16"/>
      <c r="D22" s="91">
        <v>208</v>
      </c>
      <c r="E22" s="80">
        <f t="shared" si="0"/>
        <v>8.3500602167804097E-2</v>
      </c>
      <c r="F22" s="115">
        <v>832</v>
      </c>
      <c r="G22" s="51"/>
      <c r="H22" s="38" t="s">
        <v>14</v>
      </c>
      <c r="I22" s="39"/>
      <c r="J22" s="40">
        <f t="shared" si="1"/>
        <v>0</v>
      </c>
      <c r="K22" s="86">
        <f t="shared" si="3"/>
        <v>2</v>
      </c>
      <c r="L22" s="39"/>
      <c r="M22" s="39"/>
      <c r="N22" s="39"/>
      <c r="O22" s="39"/>
      <c r="P22" s="39">
        <f t="shared" si="2"/>
        <v>0</v>
      </c>
      <c r="Q22" s="84"/>
    </row>
    <row r="23" spans="2:17" s="1" customFormat="1" ht="20.25" customHeight="1" x14ac:dyDescent="0.3">
      <c r="B23" s="79" t="s">
        <v>113</v>
      </c>
      <c r="C23" s="16"/>
      <c r="D23" s="91">
        <v>125</v>
      </c>
      <c r="E23" s="80">
        <f t="shared" si="0"/>
        <v>5.0180650341228421E-2</v>
      </c>
      <c r="F23" s="115">
        <v>500</v>
      </c>
      <c r="G23" s="51"/>
      <c r="H23" s="38" t="s">
        <v>14</v>
      </c>
      <c r="I23" s="39"/>
      <c r="J23" s="40">
        <f t="shared" si="1"/>
        <v>0</v>
      </c>
      <c r="K23" s="86">
        <f t="shared" si="3"/>
        <v>2</v>
      </c>
      <c r="L23" s="39"/>
      <c r="M23" s="39"/>
      <c r="N23" s="39"/>
      <c r="O23" s="39"/>
      <c r="P23" s="39">
        <f t="shared" si="2"/>
        <v>0</v>
      </c>
      <c r="Q23" s="84"/>
    </row>
    <row r="24" spans="2:17" s="1" customFormat="1" ht="20.25" customHeight="1" x14ac:dyDescent="0.3">
      <c r="B24" s="79" t="s">
        <v>114</v>
      </c>
      <c r="C24" s="16"/>
      <c r="D24" s="91">
        <v>83</v>
      </c>
      <c r="E24" s="80">
        <f t="shared" si="0"/>
        <v>3.3319951826575669E-2</v>
      </c>
      <c r="F24" s="115">
        <v>332</v>
      </c>
      <c r="G24" s="51"/>
      <c r="H24" s="38" t="s">
        <v>14</v>
      </c>
      <c r="I24" s="39"/>
      <c r="J24" s="40">
        <f t="shared" si="1"/>
        <v>0</v>
      </c>
      <c r="K24" s="86">
        <f t="shared" si="3"/>
        <v>2</v>
      </c>
      <c r="L24" s="39"/>
      <c r="M24" s="39"/>
      <c r="N24" s="39"/>
      <c r="O24" s="39"/>
      <c r="P24" s="39">
        <f t="shared" si="2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83</v>
      </c>
      <c r="E25" s="80">
        <f t="shared" si="0"/>
        <v>3.3319951826575669E-2</v>
      </c>
      <c r="F25" s="115">
        <v>332</v>
      </c>
      <c r="G25" s="51"/>
      <c r="H25" s="38" t="s">
        <v>14</v>
      </c>
      <c r="I25" s="39"/>
      <c r="J25" s="40">
        <f t="shared" si="1"/>
        <v>0</v>
      </c>
      <c r="K25" s="86">
        <f t="shared" si="3"/>
        <v>2</v>
      </c>
      <c r="L25" s="39"/>
      <c r="M25" s="39"/>
      <c r="N25" s="39"/>
      <c r="O25" s="39"/>
      <c r="P25" s="39">
        <f t="shared" si="2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63</v>
      </c>
      <c r="E26" s="80">
        <f t="shared" si="0"/>
        <v>2.5291047771979124E-2</v>
      </c>
      <c r="F26" s="115">
        <v>252</v>
      </c>
      <c r="G26" s="51"/>
      <c r="H26" s="38" t="s">
        <v>14</v>
      </c>
      <c r="I26" s="39"/>
      <c r="J26" s="40">
        <f t="shared" si="1"/>
        <v>0</v>
      </c>
      <c r="K26" s="86">
        <f t="shared" si="3"/>
        <v>2</v>
      </c>
      <c r="L26" s="39"/>
      <c r="M26" s="39"/>
      <c r="N26" s="39"/>
      <c r="O26" s="39"/>
      <c r="P26" s="39">
        <f t="shared" si="2"/>
        <v>0</v>
      </c>
      <c r="Q26" s="84"/>
    </row>
    <row r="27" spans="2:17" s="1" customFormat="1" ht="20.25" customHeight="1" x14ac:dyDescent="0.3">
      <c r="B27" s="79" t="s">
        <v>51</v>
      </c>
      <c r="C27" s="16" t="s">
        <v>65</v>
      </c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f t="shared" si="1"/>
        <v>0</v>
      </c>
      <c r="K27" s="86">
        <f t="shared" si="3"/>
        <v>2</v>
      </c>
      <c r="L27" s="39"/>
      <c r="M27" s="39"/>
      <c r="N27" s="39"/>
      <c r="O27" s="39"/>
      <c r="P27" s="39">
        <f t="shared" si="2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f t="shared" si="1"/>
        <v>0</v>
      </c>
      <c r="K28" s="86">
        <f t="shared" si="3"/>
        <v>2</v>
      </c>
      <c r="L28" s="39"/>
      <c r="M28" s="39"/>
      <c r="N28" s="39"/>
      <c r="O28" s="39"/>
      <c r="P28" s="39">
        <f t="shared" si="2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>
        <v>21</v>
      </c>
      <c r="E29" s="80">
        <f t="shared" si="0"/>
        <v>8.4303492573263757E-3</v>
      </c>
      <c r="F29" s="115">
        <v>84</v>
      </c>
      <c r="G29" s="51"/>
      <c r="H29" s="38" t="s">
        <v>14</v>
      </c>
      <c r="I29" s="39"/>
      <c r="J29" s="40">
        <f t="shared" si="1"/>
        <v>0</v>
      </c>
      <c r="K29" s="86">
        <f t="shared" si="3"/>
        <v>2</v>
      </c>
      <c r="L29" s="39"/>
      <c r="M29" s="39"/>
      <c r="N29" s="39"/>
      <c r="O29" s="39"/>
      <c r="P29" s="39">
        <f t="shared" si="2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21</v>
      </c>
      <c r="E30" s="80">
        <f t="shared" si="0"/>
        <v>8.4303492573263757E-3</v>
      </c>
      <c r="F30" s="115">
        <v>84</v>
      </c>
      <c r="G30" s="51"/>
      <c r="H30" s="38" t="s">
        <v>14</v>
      </c>
      <c r="I30" s="39"/>
      <c r="J30" s="40">
        <f t="shared" si="1"/>
        <v>0</v>
      </c>
      <c r="K30" s="86">
        <f t="shared" si="3"/>
        <v>2</v>
      </c>
      <c r="L30" s="39"/>
      <c r="M30" s="39"/>
      <c r="N30" s="39"/>
      <c r="O30" s="39"/>
      <c r="P30" s="39">
        <f t="shared" si="2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/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>
        <f>SUM(I13:I30)</f>
        <v>5</v>
      </c>
      <c r="J34" s="36">
        <f>100%-K34</f>
        <v>0.6</v>
      </c>
      <c r="K34" s="36">
        <f>K30/I34</f>
        <v>0.4</v>
      </c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111</v>
      </c>
      <c r="C36" s="16" t="s">
        <v>112</v>
      </c>
      <c r="D36" s="91">
        <v>52</v>
      </c>
      <c r="E36" s="80">
        <f t="shared" si="0"/>
        <v>2.0875150541951024E-2</v>
      </c>
      <c r="F36" s="115">
        <v>108</v>
      </c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1.5</v>
      </c>
      <c r="K37" s="46">
        <f>J37/(J37+J38+J39)</f>
        <v>0.3</v>
      </c>
      <c r="L37" s="111">
        <f>M37/J37</f>
        <v>0</v>
      </c>
      <c r="M37" s="96">
        <f>SUM(P15+P16)</f>
        <v>0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2491</v>
      </c>
      <c r="E38" s="82">
        <f>SUM(E15:E37)</f>
        <v>0.99999999999999989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1.5</v>
      </c>
      <c r="K38" s="46">
        <f>J38/(J38+J39+J37)</f>
        <v>0.3</v>
      </c>
      <c r="L38" s="111">
        <f>M38/J38</f>
        <v>0</v>
      </c>
      <c r="M38" s="96">
        <f>SUM(P18:P30)</f>
        <v>0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24.712301587301589</v>
      </c>
      <c r="G39" s="10" t="s">
        <v>41</v>
      </c>
      <c r="H39" s="54" t="s">
        <v>94</v>
      </c>
      <c r="I39" s="53" t="s">
        <v>97</v>
      </c>
      <c r="J39" s="55">
        <f>SUM(I18:I30)</f>
        <v>2</v>
      </c>
      <c r="K39" s="94">
        <f>J39/(J39+J38+J37)</f>
        <v>0.4</v>
      </c>
      <c r="L39" s="111">
        <f>M39/J39</f>
        <v>0</v>
      </c>
      <c r="M39" s="96">
        <f>SUM(P19:P31)</f>
        <v>0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5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0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/>
      <c r="I44" s="45">
        <f>J39</f>
        <v>2</v>
      </c>
      <c r="J44" s="19"/>
      <c r="K44" s="88">
        <f>I44+J44</f>
        <v>2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2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2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2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2</v>
      </c>
      <c r="J48" s="35">
        <f>SUM(J44:J47)</f>
        <v>0</v>
      </c>
      <c r="K48" s="101">
        <f>K47</f>
        <v>2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4">K51+J52</f>
        <v>#REF!</v>
      </c>
      <c r="L52" s="95"/>
      <c r="M52" s="96" t="e">
        <f t="shared" ref="M52:M57" si="5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4"/>
        <v>#REF!</v>
      </c>
      <c r="L53" s="56"/>
      <c r="M53" s="96" t="e">
        <f t="shared" si="5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4"/>
        <v>#REF!</v>
      </c>
      <c r="L54" s="56"/>
      <c r="M54" s="96" t="e">
        <f t="shared" si="5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4"/>
        <v>#REF!</v>
      </c>
      <c r="L55" s="56"/>
      <c r="M55" s="96" t="e">
        <f t="shared" si="5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4"/>
        <v>#REF!</v>
      </c>
      <c r="L56" s="56"/>
      <c r="M56" s="96" t="e">
        <f t="shared" si="5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4"/>
        <v>#REF!</v>
      </c>
      <c r="L57" s="56"/>
      <c r="M57" s="96" t="e">
        <f t="shared" si="5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4830-6CCC-4A2D-B064-2E2B7FD35272}">
  <sheetPr>
    <pageSetUpPr fitToPage="1"/>
  </sheetPr>
  <dimension ref="B1:Q61"/>
  <sheetViews>
    <sheetView workbookViewId="0">
      <selection activeCell="I39" sqref="I39"/>
    </sheetView>
  </sheetViews>
  <sheetFormatPr defaultColWidth="8.6640625" defaultRowHeight="14.4" outlineLevelRow="1" x14ac:dyDescent="0.3"/>
  <cols>
    <col min="1" max="1" width="0.44140625" customWidth="1"/>
    <col min="2" max="2" width="22.6640625" style="3" customWidth="1"/>
    <col min="3" max="3" width="26.44140625" customWidth="1"/>
    <col min="4" max="4" width="14.44140625" style="1" customWidth="1"/>
    <col min="5" max="6" width="10.44140625" style="1" customWidth="1"/>
    <col min="7" max="7" width="13.33203125" style="5" customWidth="1"/>
    <col min="8" max="8" width="22.33203125" style="5" customWidth="1"/>
    <col min="9" max="9" width="14.44140625" style="5" customWidth="1"/>
    <col min="10" max="10" width="10.44140625" style="5" customWidth="1"/>
    <col min="11" max="11" width="12.6640625" style="1" customWidth="1"/>
    <col min="12" max="12" width="10.44140625" style="1" customWidth="1"/>
    <col min="13" max="13" width="10.44140625" customWidth="1"/>
    <col min="14" max="14" width="11.6640625" customWidth="1"/>
    <col min="15" max="16" width="10.44140625" customWidth="1"/>
    <col min="17" max="17" width="38.6640625" customWidth="1"/>
  </cols>
  <sheetData>
    <row r="1" spans="2:17" ht="1.5" customHeight="1" thickBot="1" x14ac:dyDescent="0.35"/>
    <row r="2" spans="2:17" s="1" customFormat="1" x14ac:dyDescent="0.3">
      <c r="B2" s="7" t="s">
        <v>38</v>
      </c>
      <c r="C2" s="26" t="s">
        <v>100</v>
      </c>
      <c r="D2" s="2"/>
      <c r="G2" s="5"/>
      <c r="H2" s="5"/>
      <c r="I2" s="5"/>
      <c r="J2" s="5"/>
    </row>
    <row r="3" spans="2:17" s="1" customFormat="1" x14ac:dyDescent="0.3">
      <c r="B3" s="77" t="s">
        <v>33</v>
      </c>
      <c r="C3" s="78" t="s">
        <v>103</v>
      </c>
      <c r="D3" s="2"/>
      <c r="G3" s="5"/>
      <c r="H3" s="5"/>
      <c r="I3" s="5"/>
      <c r="J3" s="5"/>
    </row>
    <row r="4" spans="2:17" s="1" customFormat="1" x14ac:dyDescent="0.3">
      <c r="B4" s="27" t="s">
        <v>10</v>
      </c>
      <c r="C4" s="28">
        <v>44647</v>
      </c>
      <c r="D4" s="2"/>
      <c r="G4" s="5"/>
      <c r="H4" s="5"/>
      <c r="I4" s="5"/>
      <c r="J4" s="5"/>
    </row>
    <row r="5" spans="2:17" s="1" customFormat="1" x14ac:dyDescent="0.3">
      <c r="B5" s="104" t="s">
        <v>96</v>
      </c>
      <c r="C5" s="105">
        <v>0.29166666666666669</v>
      </c>
      <c r="D5" s="2"/>
      <c r="G5" s="5"/>
      <c r="H5" s="5"/>
      <c r="I5" s="5"/>
      <c r="J5" s="5"/>
    </row>
    <row r="6" spans="2:17" s="1" customFormat="1" ht="15" thickBot="1" x14ac:dyDescent="0.35">
      <c r="B6" s="29" t="s">
        <v>11</v>
      </c>
      <c r="C6" s="21" t="s">
        <v>85</v>
      </c>
      <c r="D6" s="2"/>
      <c r="G6" s="5"/>
      <c r="H6" s="5"/>
      <c r="I6" s="5"/>
      <c r="J6" s="5"/>
    </row>
    <row r="7" spans="2:17" s="1" customFormat="1" ht="15" thickBot="1" x14ac:dyDescent="0.35">
      <c r="B7" s="4"/>
      <c r="D7" s="2"/>
      <c r="G7" s="5"/>
      <c r="H7" s="5"/>
      <c r="I7" s="5"/>
      <c r="J7" s="5"/>
    </row>
    <row r="8" spans="2:17" s="1" customFormat="1" ht="28.8" x14ac:dyDescent="0.3">
      <c r="B8" s="7" t="s">
        <v>9</v>
      </c>
      <c r="C8" s="8" t="s">
        <v>1</v>
      </c>
      <c r="D8" s="15" t="s">
        <v>3</v>
      </c>
      <c r="E8" s="15" t="s">
        <v>0</v>
      </c>
      <c r="F8" s="9" t="s">
        <v>12</v>
      </c>
      <c r="G8" s="5"/>
      <c r="H8" s="134" t="s">
        <v>22</v>
      </c>
      <c r="I8" s="135"/>
      <c r="J8" s="136"/>
      <c r="K8" s="137"/>
    </row>
    <row r="9" spans="2:17" s="1" customFormat="1" ht="20.25" customHeight="1" x14ac:dyDescent="0.3">
      <c r="B9" s="10" t="s">
        <v>42</v>
      </c>
      <c r="C9" s="17" t="s">
        <v>45</v>
      </c>
      <c r="D9" s="17">
        <v>125</v>
      </c>
      <c r="E9" s="30">
        <v>0.96</v>
      </c>
      <c r="F9" s="75">
        <f>D9*E9</f>
        <v>120</v>
      </c>
      <c r="G9" s="132">
        <f>D9/$D12</f>
        <v>0.5</v>
      </c>
      <c r="H9" s="27" t="s">
        <v>23</v>
      </c>
      <c r="I9" s="138" t="s">
        <v>122</v>
      </c>
      <c r="J9" s="139"/>
      <c r="K9" s="140"/>
    </row>
    <row r="10" spans="2:17" s="1" customFormat="1" ht="20.25" customHeight="1" x14ac:dyDescent="0.3">
      <c r="B10" s="10" t="s">
        <v>2</v>
      </c>
      <c r="C10" s="17" t="s">
        <v>44</v>
      </c>
      <c r="D10" s="17">
        <v>125</v>
      </c>
      <c r="E10" s="30">
        <v>0</v>
      </c>
      <c r="F10" s="75"/>
      <c r="G10" s="132">
        <f>D10/D$12</f>
        <v>0.5</v>
      </c>
      <c r="H10" s="27" t="s">
        <v>46</v>
      </c>
      <c r="I10" s="138" t="s">
        <v>123</v>
      </c>
      <c r="J10" s="139"/>
      <c r="K10" s="140"/>
    </row>
    <row r="11" spans="2:17" s="1" customFormat="1" ht="20.25" customHeight="1" x14ac:dyDescent="0.3">
      <c r="B11" s="10" t="s">
        <v>8</v>
      </c>
      <c r="C11" s="17" t="s">
        <v>43</v>
      </c>
      <c r="D11" s="18">
        <v>0</v>
      </c>
      <c r="E11" s="31">
        <v>0</v>
      </c>
      <c r="F11" s="75">
        <f>D11*E11</f>
        <v>0</v>
      </c>
      <c r="G11" s="5"/>
      <c r="H11" s="27" t="s">
        <v>24</v>
      </c>
      <c r="I11" s="138" t="s">
        <v>66</v>
      </c>
      <c r="J11" s="139"/>
      <c r="K11" s="140"/>
    </row>
    <row r="12" spans="2:17" s="1" customFormat="1" ht="20.25" customHeight="1" thickBot="1" x14ac:dyDescent="0.35">
      <c r="B12" s="11" t="s">
        <v>32</v>
      </c>
      <c r="C12" s="20"/>
      <c r="D12" s="32">
        <f>SUM(D9:D11)</f>
        <v>250</v>
      </c>
      <c r="E12" s="103">
        <f>F9/D12</f>
        <v>0.48</v>
      </c>
      <c r="F12" s="76">
        <f>D12*E12</f>
        <v>120</v>
      </c>
      <c r="G12" s="5"/>
      <c r="H12" s="29" t="s">
        <v>25</v>
      </c>
      <c r="I12" s="138" t="s">
        <v>124</v>
      </c>
      <c r="J12" s="139"/>
      <c r="K12" s="140"/>
    </row>
    <row r="13" spans="2:17" s="1" customFormat="1" ht="15" thickBot="1" x14ac:dyDescent="0.35">
      <c r="B13" s="3"/>
      <c r="C13"/>
      <c r="G13" s="5"/>
      <c r="H13" s="5"/>
      <c r="I13" s="5"/>
      <c r="J13" s="5"/>
    </row>
    <row r="14" spans="2:17" s="1" customFormat="1" ht="28.8" x14ac:dyDescent="0.3">
      <c r="B14" s="83" t="s">
        <v>47</v>
      </c>
      <c r="C14" s="8" t="s">
        <v>34</v>
      </c>
      <c r="D14" s="8" t="s">
        <v>48</v>
      </c>
      <c r="E14" s="9" t="s">
        <v>49</v>
      </c>
      <c r="G14" s="50" t="s">
        <v>4</v>
      </c>
      <c r="H14" s="23" t="s">
        <v>13</v>
      </c>
      <c r="I14" s="33" t="s">
        <v>18</v>
      </c>
      <c r="J14" s="15" t="s">
        <v>19</v>
      </c>
      <c r="K14" s="15" t="s">
        <v>20</v>
      </c>
      <c r="L14" s="22" t="s">
        <v>0</v>
      </c>
      <c r="M14" s="24" t="s">
        <v>6</v>
      </c>
      <c r="N14" s="24" t="s">
        <v>16</v>
      </c>
      <c r="O14" s="33" t="s">
        <v>21</v>
      </c>
      <c r="P14" s="110" t="s">
        <v>12</v>
      </c>
      <c r="Q14" s="25" t="s">
        <v>5</v>
      </c>
    </row>
    <row r="15" spans="2:17" s="1" customFormat="1" ht="20.25" customHeight="1" outlineLevel="1" x14ac:dyDescent="0.3">
      <c r="B15" s="79" t="s">
        <v>50</v>
      </c>
      <c r="C15" s="16" t="s">
        <v>62</v>
      </c>
      <c r="D15" s="91">
        <v>1563</v>
      </c>
      <c r="E15" s="80">
        <f>D15/D$38</f>
        <v>0.62745885186672024</v>
      </c>
      <c r="F15" s="115"/>
      <c r="G15" s="51"/>
      <c r="H15" s="38" t="s">
        <v>27</v>
      </c>
      <c r="I15" s="39">
        <v>1.5</v>
      </c>
      <c r="J15" s="40">
        <f>I15/I$34</f>
        <v>1.8072289156626505E-2</v>
      </c>
      <c r="K15" s="41"/>
      <c r="L15" s="39"/>
      <c r="M15" s="39"/>
      <c r="N15" s="39"/>
      <c r="O15" s="38"/>
      <c r="P15" s="39">
        <f>I15*L15/100</f>
        <v>0</v>
      </c>
      <c r="Q15" s="84" t="s">
        <v>125</v>
      </c>
    </row>
    <row r="16" spans="2:17" s="1" customFormat="1" ht="20.25" customHeight="1" outlineLevel="1" x14ac:dyDescent="0.3">
      <c r="B16" s="79" t="s">
        <v>104</v>
      </c>
      <c r="C16" s="16" t="s">
        <v>121</v>
      </c>
      <c r="D16" s="91">
        <v>125</v>
      </c>
      <c r="E16" s="80">
        <f t="shared" ref="E16:E37" si="0">D16/D$38</f>
        <v>5.0180650341228421E-2</v>
      </c>
      <c r="F16" s="115"/>
      <c r="G16" s="51"/>
      <c r="H16" s="38" t="s">
        <v>28</v>
      </c>
      <c r="I16" s="39">
        <v>1.5</v>
      </c>
      <c r="J16" s="40">
        <f t="shared" ref="J16:J30" si="1">I16/I$34</f>
        <v>1.8072289156626505E-2</v>
      </c>
      <c r="K16" s="41"/>
      <c r="L16" s="39"/>
      <c r="M16" s="39"/>
      <c r="N16" s="39"/>
      <c r="O16" s="38"/>
      <c r="P16" s="39">
        <f>I16*L16/100</f>
        <v>0</v>
      </c>
      <c r="Q16" s="84" t="s">
        <v>129</v>
      </c>
    </row>
    <row r="17" spans="2:17" s="1" customFormat="1" ht="20.25" customHeight="1" outlineLevel="1" x14ac:dyDescent="0.3">
      <c r="B17" s="79" t="s">
        <v>60</v>
      </c>
      <c r="C17" s="16"/>
      <c r="D17" s="91">
        <v>42</v>
      </c>
      <c r="E17" s="80">
        <f t="shared" si="0"/>
        <v>1.6860698514652751E-2</v>
      </c>
      <c r="F17" s="115"/>
      <c r="G17" s="106"/>
      <c r="H17" s="107"/>
      <c r="I17" s="108"/>
      <c r="J17" s="109"/>
      <c r="K17" s="112"/>
      <c r="L17" s="108"/>
      <c r="M17" s="108"/>
      <c r="N17" s="108"/>
      <c r="O17" s="107"/>
      <c r="P17" s="108"/>
      <c r="Q17" s="84"/>
    </row>
    <row r="18" spans="2:17" s="1" customFormat="1" ht="20.25" customHeight="1" outlineLevel="1" x14ac:dyDescent="0.3">
      <c r="B18" s="79" t="s">
        <v>63</v>
      </c>
      <c r="C18" s="16"/>
      <c r="D18" s="91"/>
      <c r="E18" s="80">
        <f t="shared" si="0"/>
        <v>0</v>
      </c>
      <c r="F18" s="115"/>
      <c r="G18" s="51">
        <v>0.33333333333333331</v>
      </c>
      <c r="H18" s="38" t="s">
        <v>14</v>
      </c>
      <c r="I18" s="39">
        <v>80</v>
      </c>
      <c r="J18" s="40">
        <f t="shared" si="1"/>
        <v>0.96385542168674698</v>
      </c>
      <c r="K18" s="86">
        <f>I18</f>
        <v>80</v>
      </c>
      <c r="L18" s="39">
        <v>82.5</v>
      </c>
      <c r="M18" s="39">
        <v>26</v>
      </c>
      <c r="N18" s="39">
        <v>82</v>
      </c>
      <c r="O18" s="38">
        <v>30.9</v>
      </c>
      <c r="P18" s="39">
        <f t="shared" ref="P18:P30" si="2">I18*L18/100</f>
        <v>66</v>
      </c>
      <c r="Q18" s="84" t="s">
        <v>126</v>
      </c>
    </row>
    <row r="19" spans="2:17" s="1" customFormat="1" ht="20.25" customHeight="1" outlineLevel="1" x14ac:dyDescent="0.3">
      <c r="B19" s="79" t="s">
        <v>64</v>
      </c>
      <c r="C19" s="16"/>
      <c r="D19" s="91"/>
      <c r="E19" s="80">
        <f t="shared" si="0"/>
        <v>0</v>
      </c>
      <c r="F19" s="115"/>
      <c r="G19" s="51">
        <v>0.375</v>
      </c>
      <c r="H19" s="38" t="s">
        <v>14</v>
      </c>
      <c r="I19" s="39"/>
      <c r="J19" s="40">
        <f t="shared" si="1"/>
        <v>0</v>
      </c>
      <c r="K19" s="86">
        <f>K18+I19</f>
        <v>80</v>
      </c>
      <c r="L19" s="39"/>
      <c r="M19" s="39"/>
      <c r="N19" s="39">
        <v>82.2</v>
      </c>
      <c r="O19" s="39">
        <v>30.6</v>
      </c>
      <c r="P19" s="39">
        <f t="shared" si="2"/>
        <v>0</v>
      </c>
      <c r="Q19" s="84" t="s">
        <v>127</v>
      </c>
    </row>
    <row r="20" spans="2:17" s="1" customFormat="1" ht="20.25" customHeight="1" outlineLevel="1" x14ac:dyDescent="0.3">
      <c r="B20" s="79" t="s">
        <v>107</v>
      </c>
      <c r="C20" s="16" t="s">
        <v>108</v>
      </c>
      <c r="D20" s="91">
        <v>63</v>
      </c>
      <c r="E20" s="80">
        <f t="shared" si="0"/>
        <v>2.5291047771979124E-2</v>
      </c>
      <c r="F20" s="115"/>
      <c r="G20" s="51">
        <v>0.41666666666666669</v>
      </c>
      <c r="H20" s="38" t="s">
        <v>14</v>
      </c>
      <c r="I20" s="39"/>
      <c r="J20" s="40">
        <f t="shared" si="1"/>
        <v>0</v>
      </c>
      <c r="K20" s="86">
        <f t="shared" ref="K20:K30" si="3">K19+I20</f>
        <v>80</v>
      </c>
      <c r="L20" s="39"/>
      <c r="M20" s="39"/>
      <c r="N20" s="39">
        <v>82.2</v>
      </c>
      <c r="O20" s="39">
        <v>30.3</v>
      </c>
      <c r="P20" s="39">
        <f t="shared" si="2"/>
        <v>0</v>
      </c>
      <c r="Q20" s="84" t="s">
        <v>128</v>
      </c>
    </row>
    <row r="21" spans="2:17" s="1" customFormat="1" ht="20.25" customHeight="1" x14ac:dyDescent="0.3">
      <c r="B21" s="79" t="s">
        <v>109</v>
      </c>
      <c r="C21" s="16" t="s">
        <v>110</v>
      </c>
      <c r="D21" s="91">
        <v>42</v>
      </c>
      <c r="E21" s="80">
        <f t="shared" si="0"/>
        <v>1.6860698514652751E-2</v>
      </c>
      <c r="F21" s="115"/>
      <c r="G21" s="51">
        <v>0.45833333333333331</v>
      </c>
      <c r="H21" s="38" t="s">
        <v>14</v>
      </c>
      <c r="I21" s="39"/>
      <c r="J21" s="40">
        <f t="shared" si="1"/>
        <v>0</v>
      </c>
      <c r="K21" s="86">
        <f t="shared" si="3"/>
        <v>80</v>
      </c>
      <c r="L21" s="39"/>
      <c r="M21" s="39"/>
      <c r="N21" s="39">
        <v>82.4</v>
      </c>
      <c r="O21" s="39">
        <v>30.4</v>
      </c>
      <c r="P21" s="39">
        <f t="shared" si="2"/>
        <v>0</v>
      </c>
      <c r="Q21" s="84" t="s">
        <v>130</v>
      </c>
    </row>
    <row r="22" spans="2:17" s="1" customFormat="1" ht="20.25" customHeight="1" x14ac:dyDescent="0.3">
      <c r="B22" s="79" t="s">
        <v>115</v>
      </c>
      <c r="C22" s="16"/>
      <c r="D22" s="91">
        <v>208</v>
      </c>
      <c r="E22" s="80">
        <f t="shared" si="0"/>
        <v>8.3500602167804097E-2</v>
      </c>
      <c r="F22" s="115"/>
      <c r="G22" s="51">
        <v>0.5</v>
      </c>
      <c r="H22" s="38" t="s">
        <v>14</v>
      </c>
      <c r="I22" s="39"/>
      <c r="J22" s="40">
        <f t="shared" si="1"/>
        <v>0</v>
      </c>
      <c r="K22" s="86">
        <f t="shared" si="3"/>
        <v>80</v>
      </c>
      <c r="L22" s="39"/>
      <c r="M22" s="39"/>
      <c r="N22" s="39">
        <v>82.6</v>
      </c>
      <c r="O22" s="39">
        <v>30.5</v>
      </c>
      <c r="P22" s="39">
        <f t="shared" si="2"/>
        <v>0</v>
      </c>
      <c r="Q22" s="84" t="s">
        <v>131</v>
      </c>
    </row>
    <row r="23" spans="2:17" s="1" customFormat="1" ht="20.25" customHeight="1" x14ac:dyDescent="0.3">
      <c r="B23" s="79" t="s">
        <v>113</v>
      </c>
      <c r="C23" s="16"/>
      <c r="D23" s="91">
        <v>125</v>
      </c>
      <c r="E23" s="80">
        <f t="shared" si="0"/>
        <v>5.0180650341228421E-2</v>
      </c>
      <c r="F23" s="115"/>
      <c r="G23" s="51"/>
      <c r="H23" s="38" t="s">
        <v>14</v>
      </c>
      <c r="I23" s="39"/>
      <c r="J23" s="40">
        <f t="shared" si="1"/>
        <v>0</v>
      </c>
      <c r="K23" s="86">
        <f t="shared" si="3"/>
        <v>80</v>
      </c>
      <c r="L23" s="39"/>
      <c r="M23" s="39"/>
      <c r="N23" s="39">
        <v>82.5</v>
      </c>
      <c r="O23" s="39"/>
      <c r="P23" s="39">
        <f t="shared" si="2"/>
        <v>0</v>
      </c>
      <c r="Q23" s="84" t="s">
        <v>132</v>
      </c>
    </row>
    <row r="24" spans="2:17" s="1" customFormat="1" ht="20.25" customHeight="1" x14ac:dyDescent="0.3">
      <c r="B24" s="79" t="s">
        <v>114</v>
      </c>
      <c r="C24" s="16"/>
      <c r="D24" s="91">
        <v>83</v>
      </c>
      <c r="E24" s="80">
        <f t="shared" si="0"/>
        <v>3.3319951826575669E-2</v>
      </c>
      <c r="F24" s="115"/>
      <c r="G24" s="51"/>
      <c r="H24" s="38" t="s">
        <v>14</v>
      </c>
      <c r="I24" s="39"/>
      <c r="J24" s="40">
        <f t="shared" si="1"/>
        <v>0</v>
      </c>
      <c r="K24" s="86">
        <f t="shared" si="3"/>
        <v>80</v>
      </c>
      <c r="L24" s="39"/>
      <c r="M24" s="39"/>
      <c r="N24" s="39"/>
      <c r="O24" s="39"/>
      <c r="P24" s="39">
        <f t="shared" si="2"/>
        <v>0</v>
      </c>
      <c r="Q24" s="84"/>
    </row>
    <row r="25" spans="2:17" s="1" customFormat="1" ht="20.25" customHeight="1" x14ac:dyDescent="0.3">
      <c r="B25" s="79" t="s">
        <v>116</v>
      </c>
      <c r="C25" s="16" t="s">
        <v>117</v>
      </c>
      <c r="D25" s="91">
        <v>83</v>
      </c>
      <c r="E25" s="80">
        <f t="shared" si="0"/>
        <v>3.3319951826575669E-2</v>
      </c>
      <c r="F25" s="115"/>
      <c r="G25" s="51"/>
      <c r="H25" s="38" t="s">
        <v>14</v>
      </c>
      <c r="I25" s="39"/>
      <c r="J25" s="40">
        <f t="shared" si="1"/>
        <v>0</v>
      </c>
      <c r="K25" s="86">
        <f t="shared" si="3"/>
        <v>80</v>
      </c>
      <c r="L25" s="39"/>
      <c r="M25" s="39"/>
      <c r="N25" s="39"/>
      <c r="O25" s="39"/>
      <c r="P25" s="39">
        <f t="shared" si="2"/>
        <v>0</v>
      </c>
      <c r="Q25" s="84"/>
    </row>
    <row r="26" spans="2:17" s="1" customFormat="1" ht="20.25" customHeight="1" x14ac:dyDescent="0.3">
      <c r="B26" s="79" t="s">
        <v>118</v>
      </c>
      <c r="C26" s="16" t="s">
        <v>119</v>
      </c>
      <c r="D26" s="91">
        <v>63</v>
      </c>
      <c r="E26" s="80">
        <f t="shared" si="0"/>
        <v>2.5291047771979124E-2</v>
      </c>
      <c r="F26" s="115"/>
      <c r="G26" s="51"/>
      <c r="H26" s="38" t="s">
        <v>14</v>
      </c>
      <c r="I26" s="39"/>
      <c r="J26" s="40">
        <f t="shared" si="1"/>
        <v>0</v>
      </c>
      <c r="K26" s="86">
        <f t="shared" si="3"/>
        <v>80</v>
      </c>
      <c r="L26" s="39"/>
      <c r="M26" s="39"/>
      <c r="N26" s="39"/>
      <c r="O26" s="39"/>
      <c r="P26" s="39">
        <f t="shared" si="2"/>
        <v>0</v>
      </c>
      <c r="Q26" s="84"/>
    </row>
    <row r="27" spans="2:17" s="1" customFormat="1" ht="20.25" customHeight="1" x14ac:dyDescent="0.3">
      <c r="B27" s="79" t="s">
        <v>51</v>
      </c>
      <c r="C27" s="16"/>
      <c r="D27" s="91"/>
      <c r="E27" s="80">
        <f t="shared" si="0"/>
        <v>0</v>
      </c>
      <c r="F27" s="115"/>
      <c r="G27" s="51"/>
      <c r="H27" s="38" t="s">
        <v>14</v>
      </c>
      <c r="I27" s="39"/>
      <c r="J27" s="40">
        <f t="shared" si="1"/>
        <v>0</v>
      </c>
      <c r="K27" s="86">
        <f t="shared" si="3"/>
        <v>80</v>
      </c>
      <c r="L27" s="39"/>
      <c r="M27" s="39"/>
      <c r="N27" s="39"/>
      <c r="O27" s="39"/>
      <c r="P27" s="39">
        <f t="shared" si="2"/>
        <v>0</v>
      </c>
      <c r="Q27" s="84"/>
    </row>
    <row r="28" spans="2:17" s="1" customFormat="1" ht="20.25" customHeight="1" x14ac:dyDescent="0.3">
      <c r="B28" s="79" t="s">
        <v>58</v>
      </c>
      <c r="C28" s="16"/>
      <c r="D28" s="91"/>
      <c r="E28" s="80">
        <f t="shared" si="0"/>
        <v>0</v>
      </c>
      <c r="F28" s="115"/>
      <c r="G28" s="51"/>
      <c r="H28" s="38" t="s">
        <v>14</v>
      </c>
      <c r="I28" s="39"/>
      <c r="J28" s="40">
        <f t="shared" si="1"/>
        <v>0</v>
      </c>
      <c r="K28" s="86">
        <f t="shared" si="3"/>
        <v>80</v>
      </c>
      <c r="L28" s="39"/>
      <c r="M28" s="39"/>
      <c r="N28" s="39"/>
      <c r="O28" s="39"/>
      <c r="P28" s="39">
        <f t="shared" si="2"/>
        <v>0</v>
      </c>
      <c r="Q28" s="84"/>
    </row>
    <row r="29" spans="2:17" s="1" customFormat="1" ht="20.25" customHeight="1" x14ac:dyDescent="0.3">
      <c r="B29" s="79" t="s">
        <v>106</v>
      </c>
      <c r="C29" s="16"/>
      <c r="D29" s="91">
        <v>21</v>
      </c>
      <c r="E29" s="80">
        <f t="shared" si="0"/>
        <v>8.4303492573263757E-3</v>
      </c>
      <c r="F29" s="115"/>
      <c r="G29" s="51"/>
      <c r="H29" s="38" t="s">
        <v>14</v>
      </c>
      <c r="I29" s="39"/>
      <c r="J29" s="40">
        <f t="shared" si="1"/>
        <v>0</v>
      </c>
      <c r="K29" s="86">
        <f t="shared" si="3"/>
        <v>80</v>
      </c>
      <c r="L29" s="39"/>
      <c r="M29" s="39"/>
      <c r="N29" s="39"/>
      <c r="O29" s="39"/>
      <c r="P29" s="39">
        <f t="shared" si="2"/>
        <v>0</v>
      </c>
      <c r="Q29" s="84"/>
    </row>
    <row r="30" spans="2:17" s="1" customFormat="1" ht="20.25" customHeight="1" x14ac:dyDescent="0.3">
      <c r="B30" s="79" t="s">
        <v>52</v>
      </c>
      <c r="C30" s="16"/>
      <c r="D30" s="91">
        <v>21</v>
      </c>
      <c r="E30" s="80">
        <f t="shared" si="0"/>
        <v>8.4303492573263757E-3</v>
      </c>
      <c r="F30" s="115"/>
      <c r="G30" s="51"/>
      <c r="H30" s="38" t="s">
        <v>14</v>
      </c>
      <c r="I30" s="39"/>
      <c r="J30" s="40">
        <f t="shared" si="1"/>
        <v>0</v>
      </c>
      <c r="K30" s="86">
        <f t="shared" si="3"/>
        <v>80</v>
      </c>
      <c r="L30" s="39"/>
      <c r="M30" s="39"/>
      <c r="N30" s="39"/>
      <c r="O30" s="39"/>
      <c r="P30" s="39">
        <f t="shared" si="2"/>
        <v>0</v>
      </c>
      <c r="Q30" s="84"/>
    </row>
    <row r="31" spans="2:17" s="1" customFormat="1" ht="20.25" customHeight="1" x14ac:dyDescent="0.3">
      <c r="B31" s="79" t="s">
        <v>53</v>
      </c>
      <c r="C31" s="16"/>
      <c r="D31" s="91"/>
      <c r="E31" s="80">
        <f t="shared" si="0"/>
        <v>0</v>
      </c>
      <c r="F31" s="115"/>
      <c r="G31" s="51"/>
      <c r="H31" s="37" t="s">
        <v>15</v>
      </c>
      <c r="I31" s="39"/>
      <c r="J31" s="126"/>
      <c r="K31" s="52"/>
      <c r="L31" s="39"/>
      <c r="M31" s="39"/>
      <c r="N31" s="39"/>
      <c r="O31" s="39"/>
      <c r="P31" s="52"/>
      <c r="Q31" s="84"/>
    </row>
    <row r="32" spans="2:17" s="1" customFormat="1" ht="20.25" customHeight="1" x14ac:dyDescent="0.3">
      <c r="B32" s="79" t="s">
        <v>54</v>
      </c>
      <c r="C32" s="16"/>
      <c r="D32" s="91"/>
      <c r="E32" s="80">
        <f t="shared" si="0"/>
        <v>0</v>
      </c>
      <c r="F32" s="115"/>
      <c r="G32" s="106"/>
      <c r="H32" s="123"/>
      <c r="I32" s="108"/>
      <c r="J32" s="109"/>
      <c r="K32" s="112"/>
      <c r="L32" s="108"/>
      <c r="M32" s="108"/>
      <c r="N32" s="108"/>
      <c r="O32" s="108"/>
      <c r="P32" s="112"/>
      <c r="Q32" s="84"/>
    </row>
    <row r="33" spans="2:17" s="1" customFormat="1" ht="20.25" customHeight="1" x14ac:dyDescent="0.3">
      <c r="B33" s="79" t="s">
        <v>55</v>
      </c>
      <c r="C33" s="16"/>
      <c r="D33" s="91"/>
      <c r="E33" s="80">
        <f t="shared" si="0"/>
        <v>0</v>
      </c>
      <c r="F33" s="115"/>
      <c r="G33" s="106"/>
      <c r="H33" s="123"/>
      <c r="I33" s="124"/>
      <c r="J33" s="109"/>
      <c r="K33" s="112"/>
      <c r="L33" s="108"/>
      <c r="M33" s="108"/>
      <c r="N33" s="108"/>
      <c r="O33" s="108"/>
      <c r="P33" s="112"/>
      <c r="Q33" s="84"/>
    </row>
    <row r="34" spans="2:17" s="1" customFormat="1" ht="20.25" customHeight="1" thickBot="1" x14ac:dyDescent="0.35">
      <c r="B34" s="79" t="s">
        <v>56</v>
      </c>
      <c r="C34" s="16"/>
      <c r="D34" s="91"/>
      <c r="E34" s="80">
        <f t="shared" si="0"/>
        <v>0</v>
      </c>
      <c r="F34" s="115"/>
      <c r="G34" s="11"/>
      <c r="H34" s="129" t="s">
        <v>84</v>
      </c>
      <c r="I34" s="35">
        <f>SUM(I13:I30)</f>
        <v>83</v>
      </c>
      <c r="J34" s="36">
        <f>100%-K34</f>
        <v>3.6144578313253017E-2</v>
      </c>
      <c r="K34" s="36">
        <f>K30/I34</f>
        <v>0.96385542168674698</v>
      </c>
      <c r="L34" s="12"/>
      <c r="M34" s="13"/>
      <c r="N34" s="14"/>
      <c r="O34" s="14"/>
      <c r="P34" s="14"/>
      <c r="Q34" s="85"/>
    </row>
    <row r="35" spans="2:17" s="1" customFormat="1" ht="20.25" customHeight="1" thickBot="1" x14ac:dyDescent="0.35">
      <c r="B35" s="79" t="s">
        <v>57</v>
      </c>
      <c r="C35" s="16"/>
      <c r="D35" s="91"/>
      <c r="E35" s="80">
        <f t="shared" si="0"/>
        <v>0</v>
      </c>
      <c r="F35" s="115"/>
      <c r="J35" s="5"/>
      <c r="K35" s="5"/>
      <c r="L35" s="5"/>
      <c r="M35" s="5"/>
      <c r="P35"/>
      <c r="Q35"/>
    </row>
    <row r="36" spans="2:17" s="1" customFormat="1" ht="31.2" customHeight="1" x14ac:dyDescent="0.3">
      <c r="B36" s="79" t="s">
        <v>120</v>
      </c>
      <c r="C36" s="16" t="s">
        <v>112</v>
      </c>
      <c r="D36" s="91">
        <v>52</v>
      </c>
      <c r="E36" s="80">
        <f t="shared" si="0"/>
        <v>2.0875150541951024E-2</v>
      </c>
      <c r="F36" s="115"/>
      <c r="G36" s="7" t="s">
        <v>13</v>
      </c>
      <c r="H36" s="8" t="s">
        <v>40</v>
      </c>
      <c r="I36" s="15" t="s">
        <v>39</v>
      </c>
      <c r="J36" s="42" t="s">
        <v>29</v>
      </c>
      <c r="K36" s="15" t="s">
        <v>30</v>
      </c>
      <c r="L36" s="8" t="s">
        <v>0</v>
      </c>
      <c r="M36" s="43" t="s">
        <v>12</v>
      </c>
      <c r="N36" s="5"/>
      <c r="O36" s="5"/>
      <c r="P36" s="34"/>
    </row>
    <row r="37" spans="2:17" s="1" customFormat="1" x14ac:dyDescent="0.3">
      <c r="B37" s="79" t="s">
        <v>8</v>
      </c>
      <c r="C37" s="16"/>
      <c r="D37" s="91"/>
      <c r="E37" s="80">
        <f t="shared" si="0"/>
        <v>0</v>
      </c>
      <c r="F37" s="115"/>
      <c r="G37" s="10" t="s">
        <v>27</v>
      </c>
      <c r="H37" s="16" t="s">
        <v>31</v>
      </c>
      <c r="I37" s="17" t="s">
        <v>68</v>
      </c>
      <c r="J37" s="45">
        <f>SUM(I15)</f>
        <v>1.5</v>
      </c>
      <c r="K37" s="46">
        <f>J37/(J37+J38+J39)</f>
        <v>1.8072289156626505E-2</v>
      </c>
      <c r="L37" s="111">
        <f>M37/J37</f>
        <v>0</v>
      </c>
      <c r="M37" s="96">
        <f>SUM(P15+P16)</f>
        <v>0</v>
      </c>
      <c r="N37" s="5"/>
      <c r="O37" s="5"/>
      <c r="P37" s="34"/>
    </row>
    <row r="38" spans="2:17" s="1" customFormat="1" ht="15" thickBot="1" x14ac:dyDescent="0.35">
      <c r="B38" s="81"/>
      <c r="C38" s="12" t="s">
        <v>59</v>
      </c>
      <c r="D38" s="92">
        <f>SUM(D15:D37)</f>
        <v>2491</v>
      </c>
      <c r="E38" s="82">
        <f>SUM(E15:E37)</f>
        <v>0.99999999999999989</v>
      </c>
      <c r="F38" s="115"/>
      <c r="G38" s="10" t="s">
        <v>41</v>
      </c>
      <c r="H38" s="17" t="s">
        <v>93</v>
      </c>
      <c r="I38" s="17" t="s">
        <v>98</v>
      </c>
      <c r="J38" s="55">
        <f>SUM(I16)</f>
        <v>1.5</v>
      </c>
      <c r="K38" s="46">
        <f>J38/(J38+J39+J37)</f>
        <v>1.8072289156626505E-2</v>
      </c>
      <c r="L38" s="111">
        <f>M38/J38</f>
        <v>44</v>
      </c>
      <c r="M38" s="96">
        <f>SUM(P18:P30)</f>
        <v>66</v>
      </c>
      <c r="N38" s="5"/>
      <c r="O38" s="5"/>
      <c r="P38" s="34"/>
    </row>
    <row r="39" spans="2:17" s="1" customFormat="1" x14ac:dyDescent="0.3">
      <c r="C39" s="89" t="s">
        <v>78</v>
      </c>
      <c r="D39" s="131">
        <f>D38/F12</f>
        <v>20.758333333333333</v>
      </c>
      <c r="G39" s="10" t="s">
        <v>41</v>
      </c>
      <c r="H39" s="54" t="s">
        <v>94</v>
      </c>
      <c r="I39" s="53" t="s">
        <v>133</v>
      </c>
      <c r="J39" s="55">
        <f>SUM(I18:I30)</f>
        <v>80</v>
      </c>
      <c r="K39" s="94">
        <f>J39/(J39+J38+J37)</f>
        <v>0.96385542168674698</v>
      </c>
      <c r="L39" s="111">
        <f>M39/J39</f>
        <v>0</v>
      </c>
      <c r="M39" s="96">
        <f>SUM(P19:P31)</f>
        <v>0</v>
      </c>
      <c r="N39" s="5"/>
      <c r="O39" s="5"/>
      <c r="P39" s="34"/>
    </row>
    <row r="40" spans="2:17" s="1" customFormat="1" x14ac:dyDescent="0.3">
      <c r="G40" s="10" t="s">
        <v>15</v>
      </c>
      <c r="H40" s="17" t="s">
        <v>93</v>
      </c>
      <c r="I40" s="17" t="s">
        <v>98</v>
      </c>
      <c r="J40" s="47">
        <f>SUM(I31:I33)</f>
        <v>0</v>
      </c>
      <c r="K40" s="48"/>
      <c r="L40" s="111" t="e">
        <f>M40/J40</f>
        <v>#DIV/0!</v>
      </c>
      <c r="M40" s="57">
        <f>SUM(P32:P34)</f>
        <v>0</v>
      </c>
      <c r="N40" s="5"/>
      <c r="O40" s="5"/>
      <c r="P40" s="5"/>
    </row>
    <row r="41" spans="2:17" s="1" customFormat="1" ht="15" thickBot="1" x14ac:dyDescent="0.35">
      <c r="G41" s="11"/>
      <c r="H41" s="93" t="s">
        <v>17</v>
      </c>
      <c r="I41" s="93"/>
      <c r="J41" s="35">
        <f>SUM(J37:J40)</f>
        <v>83</v>
      </c>
      <c r="K41" s="97">
        <f>SUM(K37:K40)</f>
        <v>1</v>
      </c>
      <c r="L41" s="111">
        <f>M41/J41</f>
        <v>0</v>
      </c>
      <c r="M41" s="49">
        <f>SUM(P32:P34)</f>
        <v>0</v>
      </c>
      <c r="N41" s="5"/>
      <c r="O41" s="5"/>
      <c r="P41" s="5"/>
    </row>
    <row r="42" spans="2:17" s="1" customFormat="1" ht="15" thickBot="1" x14ac:dyDescent="0.35">
      <c r="G42" s="3"/>
      <c r="H42" s="6"/>
      <c r="L42" s="97"/>
      <c r="M42" s="98">
        <f>SUM(M39:M41)</f>
        <v>0</v>
      </c>
      <c r="N42" s="5"/>
      <c r="O42" s="5"/>
    </row>
    <row r="43" spans="2:17" s="1" customFormat="1" ht="28.8" x14ac:dyDescent="0.3">
      <c r="G43" s="7" t="s">
        <v>2</v>
      </c>
      <c r="H43" s="8" t="s">
        <v>75</v>
      </c>
      <c r="I43" s="15" t="s">
        <v>76</v>
      </c>
      <c r="J43" s="15" t="s">
        <v>73</v>
      </c>
      <c r="K43" s="42" t="s">
        <v>74</v>
      </c>
      <c r="L43" s="8" t="s">
        <v>0</v>
      </c>
      <c r="M43" s="43" t="s">
        <v>12</v>
      </c>
      <c r="N43" s="127" t="s">
        <v>92</v>
      </c>
    </row>
    <row r="44" spans="2:17" s="1" customFormat="1" x14ac:dyDescent="0.3">
      <c r="E44" s="3"/>
      <c r="F44" s="6"/>
      <c r="G44" s="10" t="s">
        <v>69</v>
      </c>
      <c r="H44" s="102"/>
      <c r="I44" s="45">
        <f>J39</f>
        <v>80</v>
      </c>
      <c r="J44" s="19"/>
      <c r="K44" s="88">
        <f>I44+J44</f>
        <v>80</v>
      </c>
      <c r="L44" s="95"/>
      <c r="M44" s="96"/>
      <c r="N44" s="128" t="s">
        <v>95</v>
      </c>
    </row>
    <row r="45" spans="2:17" s="1" customFormat="1" x14ac:dyDescent="0.3">
      <c r="E45" s="3"/>
      <c r="F45" s="6"/>
      <c r="G45" s="10" t="s">
        <v>70</v>
      </c>
      <c r="H45" s="102"/>
      <c r="I45" s="16"/>
      <c r="J45" s="19"/>
      <c r="K45" s="88">
        <f>K44+J45</f>
        <v>80</v>
      </c>
      <c r="L45" s="95"/>
      <c r="M45" s="96"/>
      <c r="N45" s="128"/>
      <c r="P45"/>
      <c r="Q45"/>
    </row>
    <row r="46" spans="2:17" s="1" customFormat="1" x14ac:dyDescent="0.3">
      <c r="E46" s="3"/>
      <c r="F46" s="6"/>
      <c r="G46" s="10" t="s">
        <v>71</v>
      </c>
      <c r="H46" s="102"/>
      <c r="I46" s="16"/>
      <c r="J46" s="69"/>
      <c r="K46" s="88">
        <f>K45+J46</f>
        <v>80</v>
      </c>
      <c r="L46" s="56"/>
      <c r="M46" s="96"/>
      <c r="N46" s="128"/>
      <c r="P46"/>
      <c r="Q46"/>
    </row>
    <row r="47" spans="2:17" x14ac:dyDescent="0.3">
      <c r="B47"/>
      <c r="D47"/>
      <c r="E47" s="3"/>
      <c r="F47"/>
      <c r="G47" s="10" t="s">
        <v>72</v>
      </c>
      <c r="H47" s="102"/>
      <c r="I47" s="16"/>
      <c r="J47" s="87"/>
      <c r="K47" s="100">
        <f>K46+J47</f>
        <v>80</v>
      </c>
      <c r="L47" s="44"/>
      <c r="M47" s="96">
        <f>K47*L47</f>
        <v>0</v>
      </c>
      <c r="N47" s="128"/>
      <c r="O47" s="1"/>
    </row>
    <row r="48" spans="2:17" ht="15" thickBot="1" x14ac:dyDescent="0.35">
      <c r="B48"/>
      <c r="D48"/>
      <c r="E48" s="3"/>
      <c r="F48"/>
      <c r="G48" s="11"/>
      <c r="H48" s="93" t="s">
        <v>77</v>
      </c>
      <c r="I48" s="35">
        <f>SUM(I44:I47)</f>
        <v>80</v>
      </c>
      <c r="J48" s="35">
        <f>SUM(J44:J47)</f>
        <v>0</v>
      </c>
      <c r="K48" s="101">
        <f>K47</f>
        <v>80</v>
      </c>
      <c r="L48" s="97"/>
      <c r="M48" s="98"/>
      <c r="N48" s="128"/>
      <c r="O48" s="1"/>
    </row>
    <row r="49" spans="2:15" ht="15" thickBot="1" x14ac:dyDescent="0.35">
      <c r="B49"/>
      <c r="D49"/>
      <c r="E49" s="3"/>
      <c r="F49"/>
      <c r="G49" s="1"/>
      <c r="H49" s="1"/>
      <c r="I49" s="1"/>
      <c r="K49" s="5"/>
      <c r="L49" s="5"/>
      <c r="M49" s="5"/>
      <c r="N49" s="5"/>
      <c r="O49" s="1"/>
    </row>
    <row r="50" spans="2:15" ht="28.8" x14ac:dyDescent="0.3">
      <c r="B50"/>
      <c r="D50"/>
      <c r="E50" s="3"/>
      <c r="F50"/>
      <c r="G50" s="7" t="s">
        <v>2</v>
      </c>
      <c r="H50" s="8" t="s">
        <v>75</v>
      </c>
      <c r="I50" s="15" t="s">
        <v>80</v>
      </c>
      <c r="J50" s="15" t="s">
        <v>79</v>
      </c>
      <c r="K50" s="42" t="s">
        <v>81</v>
      </c>
      <c r="L50" s="8" t="s">
        <v>0</v>
      </c>
      <c r="M50" s="43" t="s">
        <v>12</v>
      </c>
      <c r="N50" s="127" t="s">
        <v>92</v>
      </c>
      <c r="O50" s="1"/>
    </row>
    <row r="51" spans="2:15" x14ac:dyDescent="0.3">
      <c r="B51"/>
      <c r="D51"/>
      <c r="E51" s="3"/>
      <c r="F51"/>
      <c r="G51" s="113" t="s">
        <v>87</v>
      </c>
      <c r="H51" s="99"/>
      <c r="I51" s="130" t="e">
        <f>J39+#REF!</f>
        <v>#REF!</v>
      </c>
      <c r="J51" s="125"/>
      <c r="K51" s="100" t="e">
        <f>I51+J51</f>
        <v>#REF!</v>
      </c>
      <c r="L51" s="111" t="e">
        <f>M51/I51</f>
        <v>#REF!</v>
      </c>
      <c r="M51" s="114" t="e">
        <f>M39+#REF!</f>
        <v>#REF!</v>
      </c>
      <c r="N51" s="128" t="s">
        <v>95</v>
      </c>
      <c r="O51" s="1"/>
    </row>
    <row r="52" spans="2:15" x14ac:dyDescent="0.3">
      <c r="B52"/>
      <c r="D52"/>
      <c r="E52" s="3"/>
      <c r="F52"/>
      <c r="G52" s="10" t="s">
        <v>70</v>
      </c>
      <c r="H52" s="99"/>
      <c r="I52" s="45"/>
      <c r="J52" s="19"/>
      <c r="K52" s="100" t="e">
        <f t="shared" ref="K52:K57" si="4">K51+J52</f>
        <v>#REF!</v>
      </c>
      <c r="L52" s="95"/>
      <c r="M52" s="96" t="e">
        <f t="shared" ref="M52:M57" si="5">K52*L52</f>
        <v>#REF!</v>
      </c>
      <c r="N52" s="116"/>
      <c r="O52" s="1"/>
    </row>
    <row r="53" spans="2:15" x14ac:dyDescent="0.3">
      <c r="B53"/>
      <c r="D53"/>
      <c r="E53" s="3"/>
      <c r="F53"/>
      <c r="G53" s="10" t="s">
        <v>71</v>
      </c>
      <c r="H53" s="99"/>
      <c r="I53" s="16"/>
      <c r="J53" s="69"/>
      <c r="K53" s="100" t="e">
        <f t="shared" si="4"/>
        <v>#REF!</v>
      </c>
      <c r="L53" s="56"/>
      <c r="M53" s="96" t="e">
        <f t="shared" si="5"/>
        <v>#REF!</v>
      </c>
      <c r="N53" s="116"/>
      <c r="O53" s="1"/>
    </row>
    <row r="54" spans="2:15" x14ac:dyDescent="0.3">
      <c r="B54"/>
      <c r="D54"/>
      <c r="E54" s="3"/>
      <c r="F54"/>
      <c r="G54" s="10" t="s">
        <v>72</v>
      </c>
      <c r="H54" s="99"/>
      <c r="I54" s="16"/>
      <c r="J54" s="69"/>
      <c r="K54" s="100" t="e">
        <f t="shared" si="4"/>
        <v>#REF!</v>
      </c>
      <c r="L54" s="56"/>
      <c r="M54" s="96" t="e">
        <f t="shared" si="5"/>
        <v>#REF!</v>
      </c>
      <c r="N54" s="1"/>
      <c r="O54" s="1"/>
    </row>
    <row r="55" spans="2:15" x14ac:dyDescent="0.3">
      <c r="B55"/>
      <c r="D55"/>
      <c r="E55" s="3"/>
      <c r="F55"/>
      <c r="G55" s="10" t="s">
        <v>89</v>
      </c>
      <c r="H55" s="99"/>
      <c r="I55" s="16"/>
      <c r="J55" s="69"/>
      <c r="K55" s="100" t="e">
        <f t="shared" si="4"/>
        <v>#REF!</v>
      </c>
      <c r="L55" s="56"/>
      <c r="M55" s="96" t="e">
        <f t="shared" si="5"/>
        <v>#REF!</v>
      </c>
      <c r="N55" s="1"/>
      <c r="O55" s="1"/>
    </row>
    <row r="56" spans="2:15" x14ac:dyDescent="0.3">
      <c r="B56"/>
      <c r="D56"/>
      <c r="E56" s="3"/>
      <c r="F56"/>
      <c r="G56" s="10" t="s">
        <v>90</v>
      </c>
      <c r="H56" s="99"/>
      <c r="I56" s="16"/>
      <c r="J56" s="69"/>
      <c r="K56" s="100" t="e">
        <f t="shared" si="4"/>
        <v>#REF!</v>
      </c>
      <c r="L56" s="56"/>
      <c r="M56" s="96" t="e">
        <f t="shared" si="5"/>
        <v>#REF!</v>
      </c>
      <c r="N56" s="1"/>
      <c r="O56" s="1"/>
    </row>
    <row r="57" spans="2:15" x14ac:dyDescent="0.3">
      <c r="B57"/>
      <c r="D57"/>
      <c r="E57" s="3"/>
      <c r="F57"/>
      <c r="G57" s="10" t="s">
        <v>91</v>
      </c>
      <c r="H57" s="99"/>
      <c r="I57" s="16"/>
      <c r="J57" s="69"/>
      <c r="K57" s="100" t="e">
        <f t="shared" si="4"/>
        <v>#REF!</v>
      </c>
      <c r="L57" s="56"/>
      <c r="M57" s="96" t="e">
        <f t="shared" si="5"/>
        <v>#REF!</v>
      </c>
      <c r="N57" s="1"/>
      <c r="O57" s="1"/>
    </row>
    <row r="58" spans="2:15" ht="15" thickBot="1" x14ac:dyDescent="0.35">
      <c r="B58"/>
      <c r="D58"/>
      <c r="E58" s="3"/>
      <c r="F58"/>
      <c r="G58" s="11"/>
      <c r="H58" s="93" t="s">
        <v>77</v>
      </c>
      <c r="I58" s="93"/>
      <c r="J58" s="35">
        <f>SUM(J51:J57)</f>
        <v>0</v>
      </c>
      <c r="K58" s="90" t="e">
        <f>K57</f>
        <v>#REF!</v>
      </c>
      <c r="L58" s="97"/>
      <c r="M58" s="98"/>
      <c r="N58" s="1"/>
      <c r="O58" s="1"/>
    </row>
    <row r="59" spans="2:15" x14ac:dyDescent="0.3">
      <c r="B59"/>
      <c r="D59"/>
      <c r="E59" s="3"/>
      <c r="F59"/>
      <c r="G59" s="1"/>
      <c r="H59" s="1"/>
      <c r="I59" s="1"/>
      <c r="K59" s="5"/>
      <c r="L59" s="5"/>
      <c r="M59" s="5"/>
      <c r="N59" s="1"/>
      <c r="O59" s="1"/>
    </row>
    <row r="60" spans="2:15" x14ac:dyDescent="0.3">
      <c r="B60"/>
      <c r="D60"/>
      <c r="E60" s="3"/>
      <c r="F60"/>
      <c r="G60" s="1"/>
      <c r="H60" s="1"/>
      <c r="I60" s="1"/>
      <c r="K60" s="5"/>
      <c r="L60" s="5"/>
      <c r="M60" s="5"/>
      <c r="N60" s="1"/>
      <c r="O60" s="1"/>
    </row>
    <row r="61" spans="2:15" x14ac:dyDescent="0.3">
      <c r="B61"/>
      <c r="D61"/>
      <c r="E61" s="3"/>
      <c r="F61"/>
      <c r="G61" s="1"/>
      <c r="H61" s="1"/>
      <c r="I61" s="1"/>
      <c r="K61" s="5"/>
      <c r="L61" s="5"/>
      <c r="M61" s="5"/>
      <c r="N61" s="1"/>
      <c r="O61" s="1"/>
    </row>
  </sheetData>
  <mergeCells count="5">
    <mergeCell ref="H8:K8"/>
    <mergeCell ref="I9:K9"/>
    <mergeCell ref="I10:K10"/>
    <mergeCell ref="I11:K11"/>
    <mergeCell ref="I12:K12"/>
  </mergeCells>
  <printOptions horizontalCentered="1" verticalCentered="1"/>
  <pageMargins left="0.23622047244094491" right="0.23622047244094491" top="0.15748031496062992" bottom="0.35433070866141736" header="0.11811023622047245" footer="0.11811023622047245"/>
  <pageSetup paperSize="9"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8CB1E845164E4F863E9D493BE439A0" ma:contentTypeVersion="14" ma:contentTypeDescription="Create a new document." ma:contentTypeScope="" ma:versionID="11fed04ceac1f2923e9ae0075541437c">
  <xsd:schema xmlns:xsd="http://www.w3.org/2001/XMLSchema" xmlns:xs="http://www.w3.org/2001/XMLSchema" xmlns:p="http://schemas.microsoft.com/office/2006/metadata/properties" xmlns:ns2="d0863ce1-6050-4cc7-84e1-5fb1f9546a3c" xmlns:ns3="021ccb1c-46c4-4b91-8bbf-0aaee41fe836" targetNamespace="http://schemas.microsoft.com/office/2006/metadata/properties" ma:root="true" ma:fieldsID="d2fc689c95e18f5b1803d6ee348bb60e" ns2:_="" ns3:_="">
    <xsd:import namespace="d0863ce1-6050-4cc7-84e1-5fb1f9546a3c"/>
    <xsd:import namespace="021ccb1c-46c4-4b91-8bbf-0aaee41fe8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63ce1-6050-4cc7-84e1-5fb1f9546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e0cac13-5232-4f57-845c-403ea89b2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ccb1c-46c4-4b91-8bbf-0aaee41fe83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bed4a2-b7b1-4ce2-a914-2a5b20b577ca}" ma:internalName="TaxCatchAll" ma:showField="CatchAllData" ma:web="021ccb1c-46c4-4b91-8bbf-0aaee41fe8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863ce1-6050-4cc7-84e1-5fb1f9546a3c">
      <Terms xmlns="http://schemas.microsoft.com/office/infopath/2007/PartnerControls"/>
    </lcf76f155ced4ddcb4097134ff3c332f>
    <TaxCatchAll xmlns="021ccb1c-46c4-4b91-8bbf-0aaee41fe8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C970F3-9F2E-426C-B041-EBC394567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863ce1-6050-4cc7-84e1-5fb1f9546a3c"/>
    <ds:schemaRef ds:uri="021ccb1c-46c4-4b91-8bbf-0aaee41fe8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766E74-1BD2-4D60-83D8-37ABDBA53431}">
  <ds:schemaRefs>
    <ds:schemaRef ds:uri="http://schemas.microsoft.com/office/infopath/2007/PartnerControls"/>
    <ds:schemaRef ds:uri="http://purl.org/dc/terms/"/>
    <ds:schemaRef ds:uri="021ccb1c-46c4-4b91-8bbf-0aaee41fe836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d0863ce1-6050-4cc7-84e1-5fb1f9546a3c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1697147-CB61-42DF-A879-0094D0D4F0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Log</vt:lpstr>
      <vt:lpstr>Dry Season 122024</vt:lpstr>
      <vt:lpstr>Oaks 1000L (2)</vt:lpstr>
      <vt:lpstr>Oaks 1000L</vt:lpstr>
      <vt:lpstr>Oaks 1000L (3)</vt:lpstr>
      <vt:lpstr>Oaks 1000L (4)</vt:lpstr>
      <vt:lpstr>Oaks 1000L (5)</vt:lpstr>
      <vt:lpstr>Oaks Pro250L (2)</vt:lpstr>
      <vt:lpstr>Oaks Dry 01</vt:lpstr>
      <vt:lpstr>03</vt:lpstr>
      <vt:lpstr>02</vt:lpstr>
      <vt:lpstr>Oaks Pro250L</vt:lpstr>
      <vt:lpstr>01</vt:lpstr>
      <vt:lpstr>Log!Print_Area</vt:lpstr>
      <vt:lpstr>Log!Print_Titles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Parsell</dc:creator>
  <cp:lastModifiedBy>Info | Devils Thumb Distillery</cp:lastModifiedBy>
  <cp:lastPrinted>2025-08-27T21:43:01Z</cp:lastPrinted>
  <dcterms:created xsi:type="dcterms:W3CDTF">2020-12-23T06:08:30Z</dcterms:created>
  <dcterms:modified xsi:type="dcterms:W3CDTF">2025-11-07T04:16:56Z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0x0101007F8CB1E845164E4F863E9D493BE439A0</vt:lpwstr>
  </property>
  <property fmtid="{D5CDD505-2E9C-101B-9397-08002B2CF9AE}" pid="3" name="Order">
    <vt:r8>6200</vt:r8>
  </property>
  <property fmtid="{D5CDD505-2E9C-101B-9397-08002B2CF9AE}" pid="4" name="MediaServiceImageTags">
    <vt:lpwstr/>
  </property>
</Properties>
</file>